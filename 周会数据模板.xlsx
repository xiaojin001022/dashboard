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inyu.jin\Desktop\"/>
    </mc:Choice>
  </mc:AlternateContent>
  <xr:revisionPtr revIDLastSave="0" documentId="13_ncr:1_{AFDE005F-DA53-435C-AB1B-9673C4CCFAB1}" xr6:coauthVersionLast="47" xr6:coauthVersionMax="47" xr10:uidLastSave="{00000000-0000-0000-0000-000000000000}"/>
  <bookViews>
    <workbookView xWindow="-110" yWindow="-110" windowWidth="19420" windowHeight="11500" tabRatio="860" firstSheet="2" activeTab="7" xr2:uid="{00000000-000D-0000-FFFF-FFFF00000000}"/>
  </bookViews>
  <sheets>
    <sheet name="年生产计划数据汇总" sheetId="11" r:id="rId1"/>
    <sheet name="月生产计划数据汇总" sheetId="12" r:id="rId2"/>
    <sheet name="各线体周生产数据汇总" sheetId="1" r:id="rId3"/>
    <sheet name="BC区工时汇总" sheetId="2" r:id="rId4"/>
    <sheet name="10H产能利用率" sheetId="3" r:id="rId5"/>
    <sheet name="11H产能利用率" sheetId="10" r:id="rId6"/>
    <sheet name="11H排产负荷率" sheetId="4" r:id="rId7"/>
    <sheet name="10H排产负荷率" sheetId="5" r:id="rId8"/>
    <sheet name="计划达成率" sheetId="7" r:id="rId9"/>
    <sheet name="切线次数" sheetId="8" r:id="rId10"/>
    <sheet name="25-26年切线次数对比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2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B4" i="1"/>
  <c r="C5" i="12"/>
  <c r="B5" i="12"/>
  <c r="C5" i="11"/>
  <c r="D5" i="11"/>
  <c r="E5" i="11"/>
  <c r="F5" i="11"/>
  <c r="G5" i="11"/>
  <c r="H5" i="11"/>
  <c r="B5" i="11"/>
  <c r="C4" i="12"/>
  <c r="D4" i="12"/>
  <c r="B4" i="12"/>
  <c r="C4" i="11"/>
  <c r="D4" i="11"/>
  <c r="E4" i="11"/>
  <c r="F4" i="11"/>
  <c r="G4" i="11"/>
  <c r="H4" i="11"/>
  <c r="B4" i="1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B5" i="5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B5" i="4"/>
</calcChain>
</file>

<file path=xl/sharedStrings.xml><?xml version="1.0" encoding="utf-8"?>
<sst xmlns="http://schemas.openxmlformats.org/spreadsheetml/2006/main" count="322" uniqueCount="126">
  <si>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</si>
  <si>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</si>
  <si>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</si>
  <si>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</si>
  <si>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</si>
  <si>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</si>
  <si>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</si>
  <si>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</si>
  <si>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</si>
  <si>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</si>
  <si>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</si>
  <si>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</si>
  <si>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</si>
  <si>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</si>
  <si>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</si>
  <si>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</si>
  <si>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</si>
  <si>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</si>
  <si>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</si>
  <si>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</si>
  <si>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C11</t>
  </si>
  <si>
    <t>Y01</t>
  </si>
  <si>
    <t>Y03</t>
  </si>
  <si>
    <t>Y09</t>
  </si>
  <si>
    <t>Y10</t>
  </si>
  <si>
    <t>YC09</t>
  </si>
  <si>
    <t>YC11</t>
  </si>
  <si>
    <t>计划总量</t>
  </si>
  <si>
    <t>生产总量</t>
  </si>
  <si>
    <t>计划达成率</t>
  </si>
  <si>
    <t>96.38%</t>
  </si>
  <si>
    <t>106.24%</t>
  </si>
  <si>
    <t>97.69%</t>
  </si>
  <si>
    <t>108.86%</t>
  </si>
  <si>
    <t>102.48%</t>
  </si>
  <si>
    <t>100.33%</t>
  </si>
  <si>
    <t>103.44%</t>
  </si>
  <si>
    <t>105.97%</t>
  </si>
  <si>
    <t>99.99%</t>
  </si>
  <si>
    <t>100.20%</t>
  </si>
  <si>
    <t>97.73%</t>
  </si>
  <si>
    <t>106.18%</t>
  </si>
  <si>
    <t>101.09%</t>
  </si>
  <si>
    <t>103.92%</t>
  </si>
  <si>
    <t>83.50%</t>
  </si>
  <si>
    <t>104.08%</t>
  </si>
  <si>
    <t>95.49%</t>
  </si>
  <si>
    <t>98.43%</t>
  </si>
  <si>
    <t>111.94%</t>
  </si>
  <si>
    <t>101.06%</t>
  </si>
  <si>
    <t>101.12%</t>
  </si>
  <si>
    <t>100.00%</t>
  </si>
  <si>
    <t>合计</t>
  </si>
  <si>
    <t>99.80%</t>
  </si>
  <si>
    <t>B区工时统计</t>
  </si>
  <si>
    <t>C区工时统计</t>
  </si>
  <si>
    <t>线体</t>
  </si>
  <si>
    <t>总工时</t>
  </si>
  <si>
    <t>出勤天数</t>
  </si>
  <si>
    <t>超8点下班</t>
  </si>
  <si>
    <t>平均时长</t>
  </si>
  <si>
    <t>C09</t>
  </si>
  <si>
    <t>C10</t>
  </si>
  <si>
    <t>Y11</t>
  </si>
  <si>
    <t>理论产出</t>
  </si>
  <si>
    <t>实际产出</t>
  </si>
  <si>
    <t>理论排产</t>
  </si>
  <si>
    <t>实际排产</t>
  </si>
  <si>
    <t>计划排产</t>
  </si>
  <si>
    <t>97.94%</t>
  </si>
  <si>
    <t>99.63%</t>
  </si>
  <si>
    <t>75.35%</t>
  </si>
  <si>
    <t>102.28%</t>
  </si>
  <si>
    <t>100.08%</t>
  </si>
  <si>
    <t>汇总</t>
  </si>
  <si>
    <t>切线次数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</si>
  <si>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</si>
  <si>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</si>
  <si>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</si>
  <si>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</si>
  <si>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</si>
  <si>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</si>
  <si>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</si>
  <si>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</si>
  <si>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</si>
  <si>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</si>
  <si>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</si>
  <si>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</si>
  <si>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</si>
  <si>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26年数据</t>
  </si>
  <si>
    <t>25年数据</t>
  </si>
  <si>
    <t>10H产能利用率</t>
    <phoneticPr fontId="1" type="noConversion"/>
  </si>
  <si>
    <t>11H产能利用率</t>
    <phoneticPr fontId="1" type="noConversion"/>
  </si>
  <si>
    <t>11H排产负荷率</t>
    <phoneticPr fontId="1" type="noConversion"/>
  </si>
  <si>
    <t>11H排产冗余率</t>
    <phoneticPr fontId="1" type="noConversion"/>
  </si>
  <si>
    <t>11H排产负荷率=实际排产/理论排产</t>
    <phoneticPr fontId="1" type="noConversion"/>
  </si>
  <si>
    <t>11H排产冗余率=1-11H排产负荷率</t>
    <phoneticPr fontId="1" type="noConversion"/>
  </si>
  <si>
    <t>10H排产负荷率</t>
    <phoneticPr fontId="1" type="noConversion"/>
  </si>
  <si>
    <t>10H排产冗余率</t>
    <phoneticPr fontId="1" type="noConversion"/>
  </si>
  <si>
    <t>月份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</si>
  <si>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</si>
  <si>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</si>
  <si>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</si>
  <si>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</si>
  <si>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</si>
  <si>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</si>
  <si>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</si>
  <si>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实际产出</t>
    <phoneticPr fontId="1" type="noConversion"/>
  </si>
  <si>
    <t>计划排产</t>
    <phoneticPr fontId="1" type="noConversion"/>
  </si>
  <si>
    <t>周</t>
    <phoneticPr fontId="1" type="noConversion"/>
  </si>
  <si>
    <t>第一周</t>
    <phoneticPr fontId="1" type="noConversion"/>
  </si>
  <si>
    <t>第二周</t>
    <phoneticPr fontId="1" type="noConversion"/>
  </si>
  <si>
    <t>第三周</t>
    <phoneticPr fontId="1" type="noConversion"/>
  </si>
  <si>
    <t>第四周</t>
    <phoneticPr fontId="1" type="noConversion"/>
  </si>
  <si>
    <t>差额</t>
    <phoneticPr fontId="1" type="noConversion"/>
  </si>
  <si>
    <t>1.先设计单元格格式，将差额为负的调整为红色</t>
    <phoneticPr fontId="1" type="noConversion"/>
  </si>
  <si>
    <t>3.双击纵坐标轴，右键，设置坐标轴格式，根据实际情况设置最小值和最大值</t>
    <phoneticPr fontId="1" type="noConversion"/>
  </si>
  <si>
    <t>4横坐标交叉，坐标轴值改为1</t>
    <phoneticPr fontId="1" type="noConversion"/>
  </si>
  <si>
    <t>5.双击横坐标轴，设计坐标轴格式，刻度线标记，选择无，标签位置：低</t>
    <phoneticPr fontId="1" type="noConversion"/>
  </si>
  <si>
    <t>6.点击柱子，右键，设计数据系列格式，填充与线条，纯色填充，勾选（以互补色代表负值）</t>
    <phoneticPr fontId="1" type="noConversion"/>
  </si>
  <si>
    <t>计划达成率</t>
    <phoneticPr fontId="1" type="noConversion"/>
  </si>
  <si>
    <t>2.插入图表：组合图</t>
    <phoneticPr fontId="1" type="noConversion"/>
  </si>
  <si>
    <t>计划达成率=实际产出/计划排产</t>
    <phoneticPr fontId="1" type="noConversion"/>
  </si>
  <si>
    <t>产能利用率=实际产出/理论产出</t>
    <phoneticPr fontId="1" type="noConversion"/>
  </si>
  <si>
    <t>注意：这里需要把百分数换成小数再生成图表</t>
    <phoneticPr fontId="1" type="noConversion"/>
  </si>
  <si>
    <t>线体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</si>
</sst>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等线"/>
      <family val="3"/>
      <charset val="134"/>
    </font>
    <font>
      <b/>
      <sz val="10"/>
      <color rgb="FFFF0000"/>
      <name val="等线"/>
      <family val="3"/>
      <charset val="134"/>
    </font>
    <font>
      <b/>
      <sz val="10"/>
      <color rgb="FFFFFFFF"/>
      <name val="等线"/>
      <charset val="134"/>
    </font>
    <font>
      <sz val="10"/>
      <name val="等线"/>
      <charset val="134"/>
    </font>
    <font>
      <sz val="10"/>
      <name val="等线"/>
      <family val="3"/>
      <charset val="134"/>
    </font>
    <font>
      <b/>
      <sz val="10"/>
      <color rgb="FFFFFFFF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10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38" fontId="0" fillId="0" borderId="1" xfId="0" applyNumberFormat="1" applyBorder="1"/>
    <xf numFmtId="10" fontId="0" fillId="0" borderId="1" xfId="0" applyNumberFormat="1" applyBorder="1"/>
    <xf numFmtId="0" fontId="5" fillId="5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2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2026</a:t>
            </a:r>
            <a:r>
              <a:rPr lang="zh-CN" altLang="en-US"/>
              <a:t>年</a:t>
            </a:r>
            <a:r>
              <a:rPr lang="en-US" altLang="zh-CN"/>
              <a:t>1-7</a:t>
            </a:r>
            <a:r>
              <a:rPr lang="zh-CN" altLang="en-US"/>
              <a:t>月生产计划完成情况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年生产计划数据汇总!$A$4</c:f>
              <c:strCache>
                <c:ptCount val="1"/>
                <c:pt idx="0">
                  <c:v>差额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年生产计划数据汇总!$B$1:$H$1</c:f>
              <c:strCache>
                <c:ptCount val="7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</c:strCache>
            </c:strRef>
          </c:cat>
          <c:val>
            <c:numRef>
              <c:f>年生产计划数据汇总!$B$4:$H$4</c:f>
              <c:numCache>
                <c:formatCode>#,##0_);[Red]\(#,##0\)</c:formatCode>
                <c:ptCount val="7"/>
                <c:pt idx="0">
                  <c:v>-5733</c:v>
                </c:pt>
                <c:pt idx="1">
                  <c:v>-4940</c:v>
                </c:pt>
                <c:pt idx="2">
                  <c:v>-7718</c:v>
                </c:pt>
                <c:pt idx="3">
                  <c:v>-5685</c:v>
                </c:pt>
                <c:pt idx="4">
                  <c:v>-4184</c:v>
                </c:pt>
                <c:pt idx="5">
                  <c:v>-7397</c:v>
                </c:pt>
                <c:pt idx="6">
                  <c:v>2122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D78E-4968-B5B9-EE7514258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814752"/>
        <c:axId val="1364805152"/>
      </c:barChart>
      <c:lineChart>
        <c:grouping val="standard"/>
        <c:varyColors val="0"/>
        <c:ser>
          <c:idx val="3"/>
          <c:order val="1"/>
          <c:tx>
            <c:strRef>
              <c:f>年生产计划数据汇总!$A$5</c:f>
              <c:strCache>
                <c:ptCount val="1"/>
                <c:pt idx="0">
                  <c:v>计划达成率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年生产计划数据汇总!$B$1:$H$1</c:f>
              <c:strCache>
                <c:ptCount val="7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</c:strCache>
            </c:strRef>
          </c:cat>
          <c:val>
            <c:numRef>
              <c:f>年生产计划数据汇总!$B$5:$H$5</c:f>
              <c:numCache>
                <c:formatCode>0.00%</c:formatCode>
                <c:ptCount val="7"/>
                <c:pt idx="0">
                  <c:v>0.98577669939043</c:v>
                </c:pt>
                <c:pt idx="1">
                  <c:v>0.96893511589591375</c:v>
                </c:pt>
                <c:pt idx="2">
                  <c:v>0.98070442113263401</c:v>
                </c:pt>
                <c:pt idx="3">
                  <c:v>0.98685500504064894</c:v>
                </c:pt>
                <c:pt idx="4">
                  <c:v>0.99198316925399788</c:v>
                </c:pt>
                <c:pt idx="5">
                  <c:v>0.98924426297682511</c:v>
                </c:pt>
                <c:pt idx="6">
                  <c:v>1.0033481861099189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8E-4968-B5B9-EE7514258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822912"/>
        <c:axId val="1364810912"/>
      </c:lineChart>
      <c:catAx>
        <c:axId val="136481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4805152"/>
        <c:crossesAt val="1"/>
        <c:auto val="1"/>
        <c:lblAlgn val="ctr"/>
        <c:lblOffset val="100"/>
        <c:noMultiLvlLbl val="0"/>
      </c:catAx>
      <c:valAx>
        <c:axId val="1364805152"/>
        <c:scaling>
          <c:orientation val="minMax"/>
          <c:max val="3000"/>
          <c:min val="-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4814752"/>
        <c:crosses val="autoZero"/>
        <c:crossBetween val="between"/>
      </c:valAx>
      <c:valAx>
        <c:axId val="136481091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4822912"/>
        <c:crosses val="max"/>
        <c:crossBetween val="between"/>
      </c:valAx>
      <c:catAx>
        <c:axId val="136482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4810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2026</a:t>
            </a:r>
            <a:r>
              <a:rPr lang="zh-CN" altLang="en-US"/>
              <a:t>年</a:t>
            </a:r>
            <a:r>
              <a:rPr lang="en-US" altLang="zh-CN"/>
              <a:t>7</a:t>
            </a:r>
            <a:r>
              <a:rPr lang="zh-CN" altLang="en-US"/>
              <a:t>月生产计划完成情况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月生产计划数据汇总!$A$4</c:f>
              <c:strCache>
                <c:ptCount val="1"/>
                <c:pt idx="0">
                  <c:v>差额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dLbl>
              <c:idx val="0"/>
              <c:layout>
                <c:manualLayout>
                  <c:x val="2.7777777777777523E-3"/>
                  <c:y val="0.236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B3-4B19-AA37-CEFE64E90535}"/>
                </c:ext>
              </c:extLst>
            </c:dLbl>
            <c:dLbl>
              <c:idx val="1"/>
              <c:layout>
                <c:manualLayout>
                  <c:x val="8.3333333333332829E-3"/>
                  <c:y val="0.162037401574803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B3-4B19-AA37-CEFE64E905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月生产计划数据汇总!$B$1:$E$1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月生产计划数据汇总!$B$4:$E$4</c:f>
              <c:numCache>
                <c:formatCode>General</c:formatCode>
                <c:ptCount val="4"/>
                <c:pt idx="0">
                  <c:v>12082</c:v>
                </c:pt>
                <c:pt idx="1">
                  <c:v>-4960</c:v>
                </c:pt>
                <c:pt idx="2">
                  <c:v>-426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9CB3-4B19-AA37-CEFE64E9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755024"/>
        <c:axId val="1547769424"/>
      </c:barChart>
      <c:lineChart>
        <c:grouping val="standard"/>
        <c:varyColors val="0"/>
        <c:ser>
          <c:idx val="3"/>
          <c:order val="1"/>
          <c:tx>
            <c:strRef>
              <c:f>月生产计划数据汇总!$A$5</c:f>
              <c:strCache>
                <c:ptCount val="1"/>
                <c:pt idx="0">
                  <c:v>计划达成率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月生产计划数据汇总!$B$1:$E$1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月生产计划数据汇总!$B$5:$E$5</c:f>
              <c:numCache>
                <c:formatCode>0.00%</c:formatCode>
                <c:ptCount val="4"/>
                <c:pt idx="0">
                  <c:v>1.0820793619521871</c:v>
                </c:pt>
                <c:pt idx="1">
                  <c:v>0.97022398050150982</c:v>
                </c:pt>
                <c:pt idx="2">
                  <c:v>0.99792734013516082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B3-4B19-AA37-CEFE64E9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770384"/>
        <c:axId val="1547759824"/>
      </c:lineChart>
      <c:catAx>
        <c:axId val="15477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7769424"/>
        <c:crossesAt val="1"/>
        <c:auto val="1"/>
        <c:lblAlgn val="ctr"/>
        <c:lblOffset val="100"/>
        <c:noMultiLvlLbl val="0"/>
      </c:catAx>
      <c:valAx>
        <c:axId val="1547769424"/>
        <c:scaling>
          <c:orientation val="minMax"/>
          <c:min val="-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7755024"/>
        <c:crosses val="autoZero"/>
        <c:crossBetween val="between"/>
      </c:valAx>
      <c:valAx>
        <c:axId val="15477598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7770384"/>
        <c:crosses val="max"/>
        <c:crossBetween val="between"/>
      </c:valAx>
      <c:catAx>
        <c:axId val="1547770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7759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2026</a:t>
            </a:r>
            <a:r>
              <a:rPr lang="zh-CN" altLang="en-US"/>
              <a:t>年</a:t>
            </a:r>
            <a:r>
              <a:rPr lang="en-US" altLang="zh-CN"/>
              <a:t>7</a:t>
            </a:r>
            <a:r>
              <a:rPr lang="zh-CN" altLang="en-US"/>
              <a:t>月第</a:t>
            </a:r>
            <a:r>
              <a:rPr lang="en-US" altLang="zh-CN"/>
              <a:t>3</a:t>
            </a:r>
            <a:r>
              <a:rPr lang="zh-CN" altLang="en-US"/>
              <a:t>周生产计划完成情况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各线体周生产数据汇总!$A$4</c:f>
              <c:strCache>
                <c:ptCount val="1"/>
                <c:pt idx="0">
                  <c:v>差额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各线体周生产数据汇总!$B$1:$AB$1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YC09</c:v>
                </c:pt>
                <c:pt idx="26">
                  <c:v>YC11</c:v>
                </c:pt>
              </c:strCache>
            </c:strRef>
          </c:cat>
          <c:val>
            <c:numRef>
              <c:f>各线体周生产数据汇总!$B$4:$AB$4</c:f>
              <c:numCache>
                <c:formatCode>General</c:formatCode>
                <c:ptCount val="27"/>
                <c:pt idx="0">
                  <c:v>-326</c:v>
                </c:pt>
                <c:pt idx="1">
                  <c:v>577</c:v>
                </c:pt>
                <c:pt idx="2">
                  <c:v>-149</c:v>
                </c:pt>
                <c:pt idx="3">
                  <c:v>-79</c:v>
                </c:pt>
                <c:pt idx="4">
                  <c:v>718</c:v>
                </c:pt>
                <c:pt idx="5">
                  <c:v>242</c:v>
                </c:pt>
                <c:pt idx="6">
                  <c:v>26</c:v>
                </c:pt>
                <c:pt idx="7">
                  <c:v>232</c:v>
                </c:pt>
                <c:pt idx="8">
                  <c:v>528</c:v>
                </c:pt>
                <c:pt idx="9">
                  <c:v>-1</c:v>
                </c:pt>
                <c:pt idx="10">
                  <c:v>20</c:v>
                </c:pt>
                <c:pt idx="11">
                  <c:v>-125</c:v>
                </c:pt>
                <c:pt idx="12">
                  <c:v>452</c:v>
                </c:pt>
                <c:pt idx="13">
                  <c:v>69</c:v>
                </c:pt>
                <c:pt idx="14">
                  <c:v>-1367</c:v>
                </c:pt>
                <c:pt idx="15">
                  <c:v>296</c:v>
                </c:pt>
                <c:pt idx="16">
                  <c:v>-1457</c:v>
                </c:pt>
                <c:pt idx="17">
                  <c:v>188</c:v>
                </c:pt>
                <c:pt idx="18">
                  <c:v>-301</c:v>
                </c:pt>
                <c:pt idx="19">
                  <c:v>-1214</c:v>
                </c:pt>
                <c:pt idx="20">
                  <c:v>-87</c:v>
                </c:pt>
                <c:pt idx="21">
                  <c:v>330</c:v>
                </c:pt>
                <c:pt idx="22">
                  <c:v>967</c:v>
                </c:pt>
                <c:pt idx="23">
                  <c:v>105</c:v>
                </c:pt>
                <c:pt idx="24">
                  <c:v>106</c:v>
                </c:pt>
                <c:pt idx="25">
                  <c:v>0</c:v>
                </c:pt>
                <c:pt idx="26">
                  <c:v>-154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FFF7-486E-94BC-5D25BC0C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axId val="510979104"/>
        <c:axId val="49221456"/>
      </c:barChart>
      <c:lineChart>
        <c:grouping val="standard"/>
        <c:varyColors val="0"/>
        <c:ser>
          <c:idx val="3"/>
          <c:order val="1"/>
          <c:tx>
            <c:strRef>
              <c:f>各线体周生产数据汇总!$A$5</c:f>
              <c:strCache>
                <c:ptCount val="1"/>
                <c:pt idx="0">
                  <c:v>计划达成率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108000" tIns="36000" rIns="72000" bIns="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980785832003554"/>
                      <c:h val="9.79873064356621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FF7-486E-94BC-5D25BC0CFD56}"/>
                </c:ext>
              </c:extLst>
            </c:dLbl>
            <c:dLbl>
              <c:idx val="24"/>
              <c:layout>
                <c:manualLayout>
                  <c:x val="-5.7412038611452762E-2"/>
                  <c:y val="4.48060288171450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108000" tIns="36000" rIns="72000" bIns="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6585266957909329E-2"/>
                      <c:h val="8.52687054817670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FF7-486E-94BC-5D25BC0CFD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08000" tIns="36000" rIns="7200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各线体周生产数据汇总!$B$1:$AB$1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YC09</c:v>
                </c:pt>
                <c:pt idx="26">
                  <c:v>YC11</c:v>
                </c:pt>
              </c:strCache>
            </c:strRef>
          </c:cat>
          <c:val>
            <c:numRef>
              <c:f>各线体周生产数据汇总!$B$5:$AB$5</c:f>
              <c:numCache>
                <c:formatCode>0.00%</c:formatCode>
                <c:ptCount val="27"/>
                <c:pt idx="0">
                  <c:v>0.96379999999999999</c:v>
                </c:pt>
                <c:pt idx="1">
                  <c:v>1.0624</c:v>
                </c:pt>
                <c:pt idx="2">
                  <c:v>0.97689999999999999</c:v>
                </c:pt>
                <c:pt idx="3">
                  <c:v>0.9909</c:v>
                </c:pt>
                <c:pt idx="4">
                  <c:v>1.0886</c:v>
                </c:pt>
                <c:pt idx="5">
                  <c:v>1.0247999999999999</c:v>
                </c:pt>
                <c:pt idx="6">
                  <c:v>1.0033000000000001</c:v>
                </c:pt>
                <c:pt idx="7">
                  <c:v>1.0344</c:v>
                </c:pt>
                <c:pt idx="8">
                  <c:v>1.0597000000000001</c:v>
                </c:pt>
                <c:pt idx="9">
                  <c:v>0.99990000000000001</c:v>
                </c:pt>
                <c:pt idx="10">
                  <c:v>1.002</c:v>
                </c:pt>
                <c:pt idx="11">
                  <c:v>0.97729999999999995</c:v>
                </c:pt>
                <c:pt idx="12">
                  <c:v>1.0618000000000001</c:v>
                </c:pt>
                <c:pt idx="13">
                  <c:v>1.0108999999999999</c:v>
                </c:pt>
                <c:pt idx="14">
                  <c:v>0.83120000000000005</c:v>
                </c:pt>
                <c:pt idx="15">
                  <c:v>1.0391999999999999</c:v>
                </c:pt>
                <c:pt idx="16">
                  <c:v>0.83499999999999996</c:v>
                </c:pt>
                <c:pt idx="17">
                  <c:v>1.0407999999999999</c:v>
                </c:pt>
                <c:pt idx="18">
                  <c:v>0.95489999999999997</c:v>
                </c:pt>
                <c:pt idx="19">
                  <c:v>0.85799999999999998</c:v>
                </c:pt>
                <c:pt idx="20">
                  <c:v>0.98429999999999995</c:v>
                </c:pt>
                <c:pt idx="21">
                  <c:v>1.0346</c:v>
                </c:pt>
                <c:pt idx="22">
                  <c:v>1.1194</c:v>
                </c:pt>
                <c:pt idx="23">
                  <c:v>1.0105999999999999</c:v>
                </c:pt>
                <c:pt idx="24">
                  <c:v>1.0112000000000001</c:v>
                </c:pt>
                <c:pt idx="25">
                  <c:v>1</c:v>
                </c:pt>
                <c:pt idx="26">
                  <c:v>0.96379999999999999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F7-486E-94BC-5D25BC0C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003696"/>
        <c:axId val="49222416"/>
      </c:lineChart>
      <c:catAx>
        <c:axId val="5109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221456"/>
        <c:crossesAt val="1"/>
        <c:auto val="1"/>
        <c:lblAlgn val="ctr"/>
        <c:lblOffset val="100"/>
        <c:noMultiLvlLbl val="0"/>
      </c:catAx>
      <c:valAx>
        <c:axId val="49221456"/>
        <c:scaling>
          <c:orientation val="minMax"/>
          <c:max val="1000"/>
          <c:min val="-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979104"/>
        <c:crosses val="autoZero"/>
        <c:crossBetween val="between"/>
      </c:valAx>
      <c:valAx>
        <c:axId val="49222416"/>
        <c:scaling>
          <c:orientation val="minMax"/>
          <c:min val="0.8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003696"/>
        <c:crosses val="max"/>
        <c:crossBetween val="between"/>
      </c:valAx>
      <c:catAx>
        <c:axId val="51100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2224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各线体理论产出、实际产出及</a:t>
            </a:r>
            <a:r>
              <a:rPr lang="en-US" altLang="zh-CN"/>
              <a:t>10H</a:t>
            </a:r>
            <a:r>
              <a:rPr lang="zh-CN" altLang="en-US"/>
              <a:t>产能利用率分析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'10H产能利用率'!$A$2</c:f>
              <c:strCache>
                <c:ptCount val="1"/>
                <c:pt idx="0">
                  <c:v>理论产出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'10H产能利用率'!$B$1:$AB$1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'10H产能利用率'!$B$2:$AB$2</c:f>
              <c:numCache>
                <c:formatCode>General</c:formatCode>
                <c:ptCount val="27"/>
                <c:pt idx="0">
                  <c:v>9522</c:v>
                </c:pt>
                <c:pt idx="1">
                  <c:v>10281</c:v>
                </c:pt>
                <c:pt idx="2">
                  <c:v>6800</c:v>
                </c:pt>
                <c:pt idx="3">
                  <c:v>8970</c:v>
                </c:pt>
                <c:pt idx="4">
                  <c:v>9522</c:v>
                </c:pt>
                <c:pt idx="5">
                  <c:v>10695</c:v>
                </c:pt>
                <c:pt idx="6">
                  <c:v>10764</c:v>
                </c:pt>
                <c:pt idx="7">
                  <c:v>8200</c:v>
                </c:pt>
                <c:pt idx="8">
                  <c:v>9522</c:v>
                </c:pt>
                <c:pt idx="9">
                  <c:v>9660</c:v>
                </c:pt>
                <c:pt idx="10">
                  <c:v>10350</c:v>
                </c:pt>
                <c:pt idx="11">
                  <c:v>6500</c:v>
                </c:pt>
                <c:pt idx="12">
                  <c:v>8556</c:v>
                </c:pt>
                <c:pt idx="13">
                  <c:v>8073</c:v>
                </c:pt>
                <c:pt idx="14">
                  <c:v>8004</c:v>
                </c:pt>
                <c:pt idx="15">
                  <c:v>8625</c:v>
                </c:pt>
                <c:pt idx="16">
                  <c:v>5445</c:v>
                </c:pt>
                <c:pt idx="17">
                  <c:v>7645</c:v>
                </c:pt>
                <c:pt idx="18">
                  <c:v>6379</c:v>
                </c:pt>
                <c:pt idx="19">
                  <c:v>8040</c:v>
                </c:pt>
                <c:pt idx="20">
                  <c:v>5463</c:v>
                </c:pt>
                <c:pt idx="21">
                  <c:v>9384</c:v>
                </c:pt>
                <c:pt idx="22">
                  <c:v>9384</c:v>
                </c:pt>
                <c:pt idx="23">
                  <c:v>9660</c:v>
                </c:pt>
                <c:pt idx="24">
                  <c:v>9660</c:v>
                </c:pt>
                <c:pt idx="25">
                  <c:v>4760</c:v>
                </c:pt>
                <c:pt idx="2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D-4BED-9054-A227C18FC998}"/>
            </c:ext>
          </c:extLst>
        </c:ser>
        <c:ser>
          <c:idx val="1"/>
          <c:order val="1"/>
          <c:tx>
            <c:strRef>
              <c:f>'10H产能利用率'!$A$3</c:f>
              <c:strCache>
                <c:ptCount val="1"/>
                <c:pt idx="0">
                  <c:v>实际产出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'10H产能利用率'!$B$1:$AB$1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'10H产能利用率'!$B$3:$AB$3</c:f>
              <c:numCache>
                <c:formatCode>General</c:formatCode>
                <c:ptCount val="27"/>
                <c:pt idx="0">
                  <c:v>8674</c:v>
                </c:pt>
                <c:pt idx="1">
                  <c:v>9827</c:v>
                </c:pt>
                <c:pt idx="2">
                  <c:v>6301</c:v>
                </c:pt>
                <c:pt idx="3">
                  <c:v>8521</c:v>
                </c:pt>
                <c:pt idx="4">
                  <c:v>8818</c:v>
                </c:pt>
                <c:pt idx="5">
                  <c:v>9992</c:v>
                </c:pt>
                <c:pt idx="6">
                  <c:v>7976</c:v>
                </c:pt>
                <c:pt idx="7">
                  <c:v>6982</c:v>
                </c:pt>
                <c:pt idx="8">
                  <c:v>9378</c:v>
                </c:pt>
                <c:pt idx="9">
                  <c:v>9399</c:v>
                </c:pt>
                <c:pt idx="10">
                  <c:v>9920</c:v>
                </c:pt>
                <c:pt idx="11">
                  <c:v>5375</c:v>
                </c:pt>
                <c:pt idx="12">
                  <c:v>7762</c:v>
                </c:pt>
                <c:pt idx="13">
                  <c:v>6417</c:v>
                </c:pt>
                <c:pt idx="14">
                  <c:v>6733</c:v>
                </c:pt>
                <c:pt idx="15">
                  <c:v>7846</c:v>
                </c:pt>
                <c:pt idx="16">
                  <c:v>7373</c:v>
                </c:pt>
                <c:pt idx="17">
                  <c:v>4798</c:v>
                </c:pt>
                <c:pt idx="18">
                  <c:v>6379</c:v>
                </c:pt>
                <c:pt idx="19">
                  <c:v>5463</c:v>
                </c:pt>
                <c:pt idx="20">
                  <c:v>5463</c:v>
                </c:pt>
                <c:pt idx="21">
                  <c:v>9880</c:v>
                </c:pt>
                <c:pt idx="22">
                  <c:v>9067</c:v>
                </c:pt>
                <c:pt idx="23">
                  <c:v>10005</c:v>
                </c:pt>
                <c:pt idx="24">
                  <c:v>9556</c:v>
                </c:pt>
                <c:pt idx="25">
                  <c:v>4096</c:v>
                </c:pt>
                <c:pt idx="2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D-4BED-9054-A227C18FC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444864"/>
        <c:axId val="1793253584"/>
      </c:barChart>
      <c:lineChart>
        <c:grouping val="standard"/>
        <c:varyColors val="0"/>
        <c:ser>
          <c:idx val="2"/>
          <c:order val="2"/>
          <c:tx>
            <c:strRef>
              <c:f>'10H产能利用率'!$A$4</c:f>
              <c:strCache>
                <c:ptCount val="1"/>
                <c:pt idx="0">
                  <c:v>10H产能利用率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'10H产能利用率'!$B$1:$AB$1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'10H产能利用率'!$B$4:$AB$4</c:f>
              <c:numCache>
                <c:formatCode>0.00%</c:formatCode>
                <c:ptCount val="27"/>
                <c:pt idx="0">
                  <c:v>0.91090000000000004</c:v>
                </c:pt>
                <c:pt idx="1">
                  <c:v>0.95579999999999998</c:v>
                </c:pt>
                <c:pt idx="2">
                  <c:v>0.92659999999999998</c:v>
                </c:pt>
                <c:pt idx="3">
                  <c:v>0.94989999999999997</c:v>
                </c:pt>
                <c:pt idx="4">
                  <c:v>0.92610000000000003</c:v>
                </c:pt>
                <c:pt idx="5">
                  <c:v>0.93430000000000002</c:v>
                </c:pt>
                <c:pt idx="6">
                  <c:v>0.74099999999999999</c:v>
                </c:pt>
                <c:pt idx="7">
                  <c:v>0.85150000000000003</c:v>
                </c:pt>
                <c:pt idx="8">
                  <c:v>0.9849</c:v>
                </c:pt>
                <c:pt idx="9">
                  <c:v>0.97299999999999998</c:v>
                </c:pt>
                <c:pt idx="10">
                  <c:v>0.95850000000000002</c:v>
                </c:pt>
                <c:pt idx="11">
                  <c:v>0.82689999999999997</c:v>
                </c:pt>
                <c:pt idx="12">
                  <c:v>0.90720000000000001</c:v>
                </c:pt>
                <c:pt idx="13">
                  <c:v>0.79490000000000005</c:v>
                </c:pt>
                <c:pt idx="14">
                  <c:v>0.84119999999999995</c:v>
                </c:pt>
                <c:pt idx="15">
                  <c:v>0.90969999999999995</c:v>
                </c:pt>
                <c:pt idx="16">
                  <c:v>1.3541000000000001</c:v>
                </c:pt>
                <c:pt idx="17">
                  <c:v>0.62760000000000005</c:v>
                </c:pt>
                <c:pt idx="18">
                  <c:v>1</c:v>
                </c:pt>
                <c:pt idx="19">
                  <c:v>0.67949999999999999</c:v>
                </c:pt>
                <c:pt idx="20">
                  <c:v>1</c:v>
                </c:pt>
                <c:pt idx="21">
                  <c:v>1.0528999999999999</c:v>
                </c:pt>
                <c:pt idx="22">
                  <c:v>0.96619999999999995</c:v>
                </c:pt>
                <c:pt idx="23">
                  <c:v>1.0357000000000001</c:v>
                </c:pt>
                <c:pt idx="24">
                  <c:v>0.98919999999999997</c:v>
                </c:pt>
                <c:pt idx="25">
                  <c:v>0.86050000000000004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BD-4BED-9054-A227C18FC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439760"/>
        <c:axId val="1793268464"/>
      </c:lineChart>
      <c:catAx>
        <c:axId val="5184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3253584"/>
        <c:crosses val="autoZero"/>
        <c:auto val="1"/>
        <c:lblAlgn val="ctr"/>
        <c:lblOffset val="100"/>
        <c:noMultiLvlLbl val="0"/>
      </c:catAx>
      <c:valAx>
        <c:axId val="17932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444864"/>
        <c:crosses val="autoZero"/>
        <c:crossBetween val="between"/>
      </c:valAx>
      <c:valAx>
        <c:axId val="1793268464"/>
        <c:scaling>
          <c:orientation val="minMax"/>
          <c:max val="1.6"/>
          <c:min val="0.5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439760"/>
        <c:crosses val="max"/>
        <c:crossBetween val="between"/>
      </c:valAx>
      <c:catAx>
        <c:axId val="518439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93268464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各线体理论产出、实际产出及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11H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产能利用率分析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'11H产能利用率'!$A$2</c:f>
              <c:strCache>
                <c:ptCount val="1"/>
                <c:pt idx="0">
                  <c:v>理论产出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'11H产能利用率'!$B$1:$Q$1</c:f>
              <c:strCache>
                <c:ptCount val="16"/>
                <c:pt idx="0">
                  <c:v>B02</c:v>
                </c:pt>
                <c:pt idx="1">
                  <c:v>B04</c:v>
                </c:pt>
                <c:pt idx="2">
                  <c:v>B05</c:v>
                </c:pt>
                <c:pt idx="3">
                  <c:v>B06</c:v>
                </c:pt>
                <c:pt idx="4">
                  <c:v>B07</c:v>
                </c:pt>
                <c:pt idx="5">
                  <c:v>B08</c:v>
                </c:pt>
                <c:pt idx="6">
                  <c:v>B11</c:v>
                </c:pt>
                <c:pt idx="7">
                  <c:v>B12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C05</c:v>
                </c:pt>
                <c:pt idx="13">
                  <c:v>C06</c:v>
                </c:pt>
                <c:pt idx="14">
                  <c:v>C07</c:v>
                </c:pt>
                <c:pt idx="15">
                  <c:v>C08</c:v>
                </c:pt>
              </c:strCache>
            </c:strRef>
          </c:cat>
          <c:val>
            <c:numRef>
              <c:f>'11H产能利用率'!$B$2:$Q$2</c:f>
              <c:numCache>
                <c:formatCode>General</c:formatCode>
                <c:ptCount val="16"/>
                <c:pt idx="0">
                  <c:v>10626</c:v>
                </c:pt>
                <c:pt idx="1">
                  <c:v>9108</c:v>
                </c:pt>
                <c:pt idx="2">
                  <c:v>9108</c:v>
                </c:pt>
                <c:pt idx="3">
                  <c:v>10626</c:v>
                </c:pt>
                <c:pt idx="4">
                  <c:v>9625</c:v>
                </c:pt>
                <c:pt idx="5">
                  <c:v>6930</c:v>
                </c:pt>
                <c:pt idx="6">
                  <c:v>10626</c:v>
                </c:pt>
                <c:pt idx="7">
                  <c:v>6600</c:v>
                </c:pt>
                <c:pt idx="8">
                  <c:v>9108</c:v>
                </c:pt>
                <c:pt idx="9">
                  <c:v>9108</c:v>
                </c:pt>
                <c:pt idx="10">
                  <c:v>9108</c:v>
                </c:pt>
                <c:pt idx="11">
                  <c:v>9108</c:v>
                </c:pt>
                <c:pt idx="12">
                  <c:v>9108</c:v>
                </c:pt>
                <c:pt idx="13">
                  <c:v>5940</c:v>
                </c:pt>
                <c:pt idx="14">
                  <c:v>7700</c:v>
                </c:pt>
                <c:pt idx="15">
                  <c:v>7920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4-43BC-85C8-3CB92F4F3D8C}"/>
            </c:ext>
          </c:extLst>
        </c:ser>
        <c:ser>
          <c:idx val="1"/>
          <c:order val="1"/>
          <c:tx>
            <c:strRef>
              <c:f>'11H产能利用率'!$A$3</c:f>
              <c:strCache>
                <c:ptCount val="1"/>
                <c:pt idx="0">
                  <c:v>实际产出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'11H产能利用率'!$B$1:$Q$1</c:f>
              <c:strCache>
                <c:ptCount val="16"/>
                <c:pt idx="0">
                  <c:v>B02</c:v>
                </c:pt>
                <c:pt idx="1">
                  <c:v>B04</c:v>
                </c:pt>
                <c:pt idx="2">
                  <c:v>B05</c:v>
                </c:pt>
                <c:pt idx="3">
                  <c:v>B06</c:v>
                </c:pt>
                <c:pt idx="4">
                  <c:v>B07</c:v>
                </c:pt>
                <c:pt idx="5">
                  <c:v>B08</c:v>
                </c:pt>
                <c:pt idx="6">
                  <c:v>B11</c:v>
                </c:pt>
                <c:pt idx="7">
                  <c:v>B12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C05</c:v>
                </c:pt>
                <c:pt idx="13">
                  <c:v>C06</c:v>
                </c:pt>
                <c:pt idx="14">
                  <c:v>C07</c:v>
                </c:pt>
                <c:pt idx="15">
                  <c:v>C08</c:v>
                </c:pt>
              </c:strCache>
            </c:strRef>
          </c:cat>
          <c:val>
            <c:numRef>
              <c:f>'11H产能利用率'!$B$3:$Q$3</c:f>
              <c:numCache>
                <c:formatCode>General</c:formatCode>
                <c:ptCount val="16"/>
                <c:pt idx="0">
                  <c:v>9827</c:v>
                </c:pt>
                <c:pt idx="1">
                  <c:v>8521</c:v>
                </c:pt>
                <c:pt idx="2">
                  <c:v>8818</c:v>
                </c:pt>
                <c:pt idx="3">
                  <c:v>9992</c:v>
                </c:pt>
                <c:pt idx="4">
                  <c:v>7976</c:v>
                </c:pt>
                <c:pt idx="5">
                  <c:v>6982</c:v>
                </c:pt>
                <c:pt idx="6">
                  <c:v>9920</c:v>
                </c:pt>
                <c:pt idx="7">
                  <c:v>5375</c:v>
                </c:pt>
                <c:pt idx="8">
                  <c:v>7762</c:v>
                </c:pt>
                <c:pt idx="9">
                  <c:v>6417</c:v>
                </c:pt>
                <c:pt idx="10">
                  <c:v>6733</c:v>
                </c:pt>
                <c:pt idx="11">
                  <c:v>7846</c:v>
                </c:pt>
                <c:pt idx="12">
                  <c:v>7373</c:v>
                </c:pt>
                <c:pt idx="13">
                  <c:v>4798</c:v>
                </c:pt>
                <c:pt idx="14">
                  <c:v>6379</c:v>
                </c:pt>
                <c:pt idx="15">
                  <c:v>5463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4-43BC-85C8-3CB92F4F3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564304"/>
        <c:axId val="679319856"/>
      </c:barChart>
      <c:lineChart>
        <c:grouping val="standard"/>
        <c:varyColors val="0"/>
        <c:ser>
          <c:idx val="2"/>
          <c:order val="2"/>
          <c:tx>
            <c:strRef>
              <c:f>'11H产能利用率'!$A$4</c:f>
              <c:strCache>
                <c:ptCount val="1"/>
                <c:pt idx="0">
                  <c:v>11H产能利用率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'11H产能利用率'!$B$1:$Q$1</c:f>
              <c:strCache>
                <c:ptCount val="16"/>
                <c:pt idx="0">
                  <c:v>B02</c:v>
                </c:pt>
                <c:pt idx="1">
                  <c:v>B04</c:v>
                </c:pt>
                <c:pt idx="2">
                  <c:v>B05</c:v>
                </c:pt>
                <c:pt idx="3">
                  <c:v>B06</c:v>
                </c:pt>
                <c:pt idx="4">
                  <c:v>B07</c:v>
                </c:pt>
                <c:pt idx="5">
                  <c:v>B08</c:v>
                </c:pt>
                <c:pt idx="6">
                  <c:v>B11</c:v>
                </c:pt>
                <c:pt idx="7">
                  <c:v>B12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C05</c:v>
                </c:pt>
                <c:pt idx="13">
                  <c:v>C06</c:v>
                </c:pt>
                <c:pt idx="14">
                  <c:v>C07</c:v>
                </c:pt>
                <c:pt idx="15">
                  <c:v>C08</c:v>
                </c:pt>
              </c:strCache>
            </c:strRef>
          </c:cat>
          <c:val>
            <c:numRef>
              <c:f>'11H产能利用率'!$B$4:$Q$4</c:f>
              <c:numCache>
                <c:formatCode>0.00%</c:formatCode>
                <c:ptCount val="16"/>
                <c:pt idx="0">
                  <c:v>0.91090000000000004</c:v>
                </c:pt>
                <c:pt idx="1">
                  <c:v>0.95579999999999998</c:v>
                </c:pt>
                <c:pt idx="2">
                  <c:v>0.92659999999999998</c:v>
                </c:pt>
                <c:pt idx="3">
                  <c:v>0.94989999999999997</c:v>
                </c:pt>
                <c:pt idx="4">
                  <c:v>0.92610000000000003</c:v>
                </c:pt>
                <c:pt idx="5">
                  <c:v>0.93430000000000002</c:v>
                </c:pt>
                <c:pt idx="6">
                  <c:v>0.74099999999999999</c:v>
                </c:pt>
                <c:pt idx="7">
                  <c:v>0.85150000000000003</c:v>
                </c:pt>
                <c:pt idx="8">
                  <c:v>0.9849</c:v>
                </c:pt>
                <c:pt idx="9">
                  <c:v>0.97299999999999998</c:v>
                </c:pt>
                <c:pt idx="10">
                  <c:v>0.95850000000000002</c:v>
                </c:pt>
                <c:pt idx="11">
                  <c:v>0.82689999999999997</c:v>
                </c:pt>
                <c:pt idx="12">
                  <c:v>0.90720000000000001</c:v>
                </c:pt>
                <c:pt idx="13">
                  <c:v>0.79490000000000005</c:v>
                </c:pt>
                <c:pt idx="14">
                  <c:v>0.84119999999999995</c:v>
                </c:pt>
                <c:pt idx="15">
                  <c:v>0.90969999999999995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04-43BC-85C8-3CB92F4F3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572192"/>
        <c:axId val="679326576"/>
      </c:lineChart>
      <c:catAx>
        <c:axId val="68556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9319856"/>
        <c:crosses val="autoZero"/>
        <c:auto val="1"/>
        <c:lblAlgn val="ctr"/>
        <c:lblOffset val="100"/>
        <c:noMultiLvlLbl val="0"/>
      </c:catAx>
      <c:valAx>
        <c:axId val="6793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564304"/>
        <c:crosses val="autoZero"/>
        <c:crossBetween val="between"/>
      </c:valAx>
      <c:valAx>
        <c:axId val="679326576"/>
        <c:scaling>
          <c:orientation val="minMax"/>
          <c:min val="0.60000000000000009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572192"/>
        <c:crosses val="max"/>
        <c:crossBetween val="between"/>
      </c:valAx>
      <c:catAx>
        <c:axId val="685572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9326576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H排产负荷率及排产冗余率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'11H排产负荷率'!$A$2</c:f>
              <c:strCache>
                <c:ptCount val="1"/>
                <c:pt idx="0">
                  <c:v>理论排产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'11H排产负荷率'!$B$1:$Q$1</c:f>
              <c:strCache>
                <c:ptCount val="16"/>
                <c:pt idx="0">
                  <c:v>B02</c:v>
                </c:pt>
                <c:pt idx="1">
                  <c:v>B04</c:v>
                </c:pt>
                <c:pt idx="2">
                  <c:v>B05</c:v>
                </c:pt>
                <c:pt idx="3">
                  <c:v>B06</c:v>
                </c:pt>
                <c:pt idx="4">
                  <c:v>B07</c:v>
                </c:pt>
                <c:pt idx="5">
                  <c:v>B08</c:v>
                </c:pt>
                <c:pt idx="6">
                  <c:v>B11</c:v>
                </c:pt>
                <c:pt idx="7">
                  <c:v>B12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C05</c:v>
                </c:pt>
                <c:pt idx="13">
                  <c:v>C06</c:v>
                </c:pt>
                <c:pt idx="14">
                  <c:v>C07</c:v>
                </c:pt>
                <c:pt idx="15">
                  <c:v>C08</c:v>
                </c:pt>
              </c:strCache>
            </c:strRef>
          </c:cat>
          <c:val>
            <c:numRef>
              <c:f>'11H排产负荷率'!$B$2:$Q$2</c:f>
              <c:numCache>
                <c:formatCode>General</c:formatCode>
                <c:ptCount val="16"/>
                <c:pt idx="0">
                  <c:v>10626</c:v>
                </c:pt>
                <c:pt idx="1">
                  <c:v>9108</c:v>
                </c:pt>
                <c:pt idx="2">
                  <c:v>9108</c:v>
                </c:pt>
                <c:pt idx="3">
                  <c:v>10626</c:v>
                </c:pt>
                <c:pt idx="4">
                  <c:v>9625</c:v>
                </c:pt>
                <c:pt idx="5">
                  <c:v>6930</c:v>
                </c:pt>
                <c:pt idx="6">
                  <c:v>10626</c:v>
                </c:pt>
                <c:pt idx="7">
                  <c:v>6600</c:v>
                </c:pt>
                <c:pt idx="8">
                  <c:v>9108</c:v>
                </c:pt>
                <c:pt idx="9">
                  <c:v>9108</c:v>
                </c:pt>
                <c:pt idx="10">
                  <c:v>9108</c:v>
                </c:pt>
                <c:pt idx="11">
                  <c:v>9108</c:v>
                </c:pt>
                <c:pt idx="12">
                  <c:v>9108</c:v>
                </c:pt>
                <c:pt idx="13">
                  <c:v>5940</c:v>
                </c:pt>
                <c:pt idx="14">
                  <c:v>7700</c:v>
                </c:pt>
                <c:pt idx="15">
                  <c:v>7920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1-42D6-8A3E-05DAE4683820}"/>
            </c:ext>
          </c:extLst>
        </c:ser>
        <c:ser>
          <c:idx val="1"/>
          <c:order val="1"/>
          <c:tx>
            <c:strRef>
              <c:f>'11H排产负荷率'!$A$3</c:f>
              <c:strCache>
                <c:ptCount val="1"/>
                <c:pt idx="0">
                  <c:v>实际排产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'11H排产负荷率'!$B$1:$Q$1</c:f>
              <c:strCache>
                <c:ptCount val="16"/>
                <c:pt idx="0">
                  <c:v>B02</c:v>
                </c:pt>
                <c:pt idx="1">
                  <c:v>B04</c:v>
                </c:pt>
                <c:pt idx="2">
                  <c:v>B05</c:v>
                </c:pt>
                <c:pt idx="3">
                  <c:v>B06</c:v>
                </c:pt>
                <c:pt idx="4">
                  <c:v>B07</c:v>
                </c:pt>
                <c:pt idx="5">
                  <c:v>B08</c:v>
                </c:pt>
                <c:pt idx="6">
                  <c:v>B11</c:v>
                </c:pt>
                <c:pt idx="7">
                  <c:v>B12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C05</c:v>
                </c:pt>
                <c:pt idx="13">
                  <c:v>C06</c:v>
                </c:pt>
                <c:pt idx="14">
                  <c:v>C07</c:v>
                </c:pt>
                <c:pt idx="15">
                  <c:v>C08</c:v>
                </c:pt>
              </c:strCache>
            </c:strRef>
          </c:cat>
          <c:val>
            <c:numRef>
              <c:f>'11H排产负荷率'!$B$3:$Q$3</c:f>
              <c:numCache>
                <c:formatCode>General</c:formatCode>
                <c:ptCount val="16"/>
                <c:pt idx="0">
                  <c:v>9250</c:v>
                </c:pt>
                <c:pt idx="1">
                  <c:v>8700</c:v>
                </c:pt>
                <c:pt idx="2">
                  <c:v>8100</c:v>
                </c:pt>
                <c:pt idx="3">
                  <c:v>9750</c:v>
                </c:pt>
                <c:pt idx="4">
                  <c:v>7950</c:v>
                </c:pt>
                <c:pt idx="5">
                  <c:v>6750</c:v>
                </c:pt>
                <c:pt idx="6">
                  <c:v>9900</c:v>
                </c:pt>
                <c:pt idx="7">
                  <c:v>5500</c:v>
                </c:pt>
                <c:pt idx="8">
                  <c:v>7310</c:v>
                </c:pt>
                <c:pt idx="9">
                  <c:v>6348</c:v>
                </c:pt>
                <c:pt idx="10">
                  <c:v>6758</c:v>
                </c:pt>
                <c:pt idx="11">
                  <c:v>7550</c:v>
                </c:pt>
                <c:pt idx="12">
                  <c:v>8830</c:v>
                </c:pt>
                <c:pt idx="13">
                  <c:v>4610</c:v>
                </c:pt>
                <c:pt idx="14">
                  <c:v>6680</c:v>
                </c:pt>
                <c:pt idx="15">
                  <c:v>8550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1-42D6-8A3E-05DAE4683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175264"/>
        <c:axId val="49179216"/>
      </c:barChart>
      <c:lineChart>
        <c:grouping val="standard"/>
        <c:varyColors val="0"/>
        <c:ser>
          <c:idx val="2"/>
          <c:order val="2"/>
          <c:tx>
            <c:strRef>
              <c:f>'11H排产负荷率'!$A$4</c:f>
              <c:strCache>
                <c:ptCount val="1"/>
                <c:pt idx="0">
                  <c:v>11H排产负荷率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'11H排产负荷率'!$B$1:$Q$1</c:f>
              <c:strCache>
                <c:ptCount val="16"/>
                <c:pt idx="0">
                  <c:v>B02</c:v>
                </c:pt>
                <c:pt idx="1">
                  <c:v>B04</c:v>
                </c:pt>
                <c:pt idx="2">
                  <c:v>B05</c:v>
                </c:pt>
                <c:pt idx="3">
                  <c:v>B06</c:v>
                </c:pt>
                <c:pt idx="4">
                  <c:v>B07</c:v>
                </c:pt>
                <c:pt idx="5">
                  <c:v>B08</c:v>
                </c:pt>
                <c:pt idx="6">
                  <c:v>B11</c:v>
                </c:pt>
                <c:pt idx="7">
                  <c:v>B12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C05</c:v>
                </c:pt>
                <c:pt idx="13">
                  <c:v>C06</c:v>
                </c:pt>
                <c:pt idx="14">
                  <c:v>C07</c:v>
                </c:pt>
                <c:pt idx="15">
                  <c:v>C08</c:v>
                </c:pt>
              </c:strCache>
            </c:strRef>
          </c:cat>
          <c:val>
            <c:numRef>
              <c:f>'11H排产负荷率'!$B$4:$Q$4</c:f>
              <c:numCache>
                <c:formatCode>0.00%</c:formatCode>
                <c:ptCount val="16"/>
                <c:pt idx="0">
                  <c:v>0.87050000000000005</c:v>
                </c:pt>
                <c:pt idx="1">
                  <c:v>0.95520000000000005</c:v>
                </c:pt>
                <c:pt idx="2">
                  <c:v>0.88929999999999998</c:v>
                </c:pt>
                <c:pt idx="3">
                  <c:v>0.91759999999999997</c:v>
                </c:pt>
                <c:pt idx="4">
                  <c:v>0.82599999999999996</c:v>
                </c:pt>
                <c:pt idx="5">
                  <c:v>0.97399999999999998</c:v>
                </c:pt>
                <c:pt idx="6">
                  <c:v>0.93169999999999997</c:v>
                </c:pt>
                <c:pt idx="7">
                  <c:v>0.83330000000000004</c:v>
                </c:pt>
                <c:pt idx="8">
                  <c:v>0.80259999999999998</c:v>
                </c:pt>
                <c:pt idx="9">
                  <c:v>0.69699999999999995</c:v>
                </c:pt>
                <c:pt idx="10">
                  <c:v>0.74199999999999999</c:v>
                </c:pt>
                <c:pt idx="11">
                  <c:v>0.82889999999999997</c:v>
                </c:pt>
                <c:pt idx="12">
                  <c:v>0.96950000000000003</c:v>
                </c:pt>
                <c:pt idx="13">
                  <c:v>0.77610000000000001</c:v>
                </c:pt>
                <c:pt idx="14">
                  <c:v>0.86750000000000005</c:v>
                </c:pt>
                <c:pt idx="15">
                  <c:v>1.0794999999999999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21-42D6-8A3E-05DAE4683820}"/>
            </c:ext>
          </c:extLst>
        </c:ser>
        <c:ser>
          <c:idx val="3"/>
          <c:order val="3"/>
          <c:tx>
            <c:strRef>
              <c:f>'11H排产负荷率'!$A$5</c:f>
              <c:strCache>
                <c:ptCount val="1"/>
                <c:pt idx="0">
                  <c:v>11H排产冗余率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'11H排产负荷率'!$B$1:$Q$1</c:f>
              <c:strCache>
                <c:ptCount val="16"/>
                <c:pt idx="0">
                  <c:v>B02</c:v>
                </c:pt>
                <c:pt idx="1">
                  <c:v>B04</c:v>
                </c:pt>
                <c:pt idx="2">
                  <c:v>B05</c:v>
                </c:pt>
                <c:pt idx="3">
                  <c:v>B06</c:v>
                </c:pt>
                <c:pt idx="4">
                  <c:v>B07</c:v>
                </c:pt>
                <c:pt idx="5">
                  <c:v>B08</c:v>
                </c:pt>
                <c:pt idx="6">
                  <c:v>B11</c:v>
                </c:pt>
                <c:pt idx="7">
                  <c:v>B12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  <c:pt idx="12">
                  <c:v>C05</c:v>
                </c:pt>
                <c:pt idx="13">
                  <c:v>C06</c:v>
                </c:pt>
                <c:pt idx="14">
                  <c:v>C07</c:v>
                </c:pt>
                <c:pt idx="15">
                  <c:v>C08</c:v>
                </c:pt>
              </c:strCache>
            </c:strRef>
          </c:cat>
          <c:val>
            <c:numRef>
              <c:f>'11H排产负荷率'!$B$5:$Q$5</c:f>
              <c:numCache>
                <c:formatCode>0.00%</c:formatCode>
                <c:ptCount val="16"/>
                <c:pt idx="0">
                  <c:v>0.12949999999999995</c:v>
                </c:pt>
                <c:pt idx="1">
                  <c:v>4.4799999999999951E-2</c:v>
                </c:pt>
                <c:pt idx="2">
                  <c:v>0.11070000000000002</c:v>
                </c:pt>
                <c:pt idx="3">
                  <c:v>8.2400000000000029E-2</c:v>
                </c:pt>
                <c:pt idx="4">
                  <c:v>0.17400000000000004</c:v>
                </c:pt>
                <c:pt idx="5">
                  <c:v>2.6000000000000023E-2</c:v>
                </c:pt>
                <c:pt idx="6">
                  <c:v>6.8300000000000027E-2</c:v>
                </c:pt>
                <c:pt idx="7">
                  <c:v>0.16669999999999996</c:v>
                </c:pt>
                <c:pt idx="8">
                  <c:v>0.19740000000000002</c:v>
                </c:pt>
                <c:pt idx="9">
                  <c:v>0.30300000000000005</c:v>
                </c:pt>
                <c:pt idx="10">
                  <c:v>0.25800000000000001</c:v>
                </c:pt>
                <c:pt idx="11">
                  <c:v>0.17110000000000003</c:v>
                </c:pt>
                <c:pt idx="12">
                  <c:v>3.0499999999999972E-2</c:v>
                </c:pt>
                <c:pt idx="13">
                  <c:v>0.22389999999999999</c:v>
                </c:pt>
                <c:pt idx="14">
                  <c:v>0.13249999999999995</c:v>
                </c:pt>
                <c:pt idx="15">
                  <c:v>-7.9499999999999904E-2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21-42D6-8A3E-05DAE4683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190576"/>
        <c:axId val="49171536"/>
      </c:lineChart>
      <c:catAx>
        <c:axId val="682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79216"/>
        <c:crosses val="autoZero"/>
        <c:auto val="1"/>
        <c:lblAlgn val="ctr"/>
        <c:lblOffset val="100"/>
        <c:noMultiLvlLbl val="0"/>
      </c:catAx>
      <c:valAx>
        <c:axId val="491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数量</a:t>
                </a:r>
                <a:r>
                  <a:rPr lang="en-US" altLang="zh-CN"/>
                  <a:t>/</a:t>
                </a:r>
                <a:r>
                  <a:rPr lang="zh-CN" altLang="en-US"/>
                  <a:t>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175264"/>
        <c:crosses val="autoZero"/>
        <c:crossBetween val="between"/>
      </c:valAx>
      <c:valAx>
        <c:axId val="491715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190576"/>
        <c:crosses val="max"/>
        <c:crossBetween val="between"/>
      </c:valAx>
      <c:catAx>
        <c:axId val="682190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171536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图表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H排产负荷率及排产冗余率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'10H排产负荷率'!$A$2</c:f>
              <c:strCache>
                <c:ptCount val="1"/>
                <c:pt idx="0">
                  <c:v>理论排产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'10H排产负荷率'!$B$1:$AB$1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'10H排产负荷率'!$B$2:$AB$2</c:f>
              <c:numCache>
                <c:formatCode>General</c:formatCode>
                <c:ptCount val="27"/>
                <c:pt idx="0">
                  <c:v>9660</c:v>
                </c:pt>
                <c:pt idx="1">
                  <c:v>9660</c:v>
                </c:pt>
                <c:pt idx="2">
                  <c:v>7000</c:v>
                </c:pt>
                <c:pt idx="3">
                  <c:v>8280</c:v>
                </c:pt>
                <c:pt idx="4">
                  <c:v>8280</c:v>
                </c:pt>
                <c:pt idx="5">
                  <c:v>9660</c:v>
                </c:pt>
                <c:pt idx="6">
                  <c:v>9660</c:v>
                </c:pt>
                <c:pt idx="7">
                  <c:v>7000</c:v>
                </c:pt>
                <c:pt idx="8">
                  <c:v>9660</c:v>
                </c:pt>
                <c:pt idx="9">
                  <c:v>9660</c:v>
                </c:pt>
                <c:pt idx="10">
                  <c:v>9660</c:v>
                </c:pt>
                <c:pt idx="11">
                  <c:v>6000</c:v>
                </c:pt>
                <c:pt idx="12">
                  <c:v>9660</c:v>
                </c:pt>
                <c:pt idx="13">
                  <c:v>8280</c:v>
                </c:pt>
                <c:pt idx="14">
                  <c:v>8100</c:v>
                </c:pt>
                <c:pt idx="15">
                  <c:v>9660</c:v>
                </c:pt>
                <c:pt idx="16">
                  <c:v>9660</c:v>
                </c:pt>
                <c:pt idx="17">
                  <c:v>5400</c:v>
                </c:pt>
                <c:pt idx="18">
                  <c:v>7700</c:v>
                </c:pt>
                <c:pt idx="19">
                  <c:v>5400</c:v>
                </c:pt>
                <c:pt idx="20">
                  <c:v>7200</c:v>
                </c:pt>
                <c:pt idx="21">
                  <c:v>9660</c:v>
                </c:pt>
                <c:pt idx="22">
                  <c:v>9660</c:v>
                </c:pt>
                <c:pt idx="23">
                  <c:v>9660</c:v>
                </c:pt>
                <c:pt idx="24">
                  <c:v>9660</c:v>
                </c:pt>
                <c:pt idx="25">
                  <c:v>4900</c:v>
                </c:pt>
                <c:pt idx="26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F-4BE8-9F43-212C7502B3AC}"/>
            </c:ext>
          </c:extLst>
        </c:ser>
        <c:ser>
          <c:idx val="1"/>
          <c:order val="1"/>
          <c:tx>
            <c:strRef>
              <c:f>'10H排产负荷率'!$A$3</c:f>
              <c:strCache>
                <c:ptCount val="1"/>
                <c:pt idx="0">
                  <c:v>实际排产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'10H排产负荷率'!$B$1:$AB$1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'10H排产负荷率'!$B$3:$AB$3</c:f>
              <c:numCache>
                <c:formatCode>General</c:formatCode>
                <c:ptCount val="27"/>
                <c:pt idx="0">
                  <c:v>9000</c:v>
                </c:pt>
                <c:pt idx="1">
                  <c:v>9250</c:v>
                </c:pt>
                <c:pt idx="2">
                  <c:v>6450</c:v>
                </c:pt>
                <c:pt idx="3">
                  <c:v>8700</c:v>
                </c:pt>
                <c:pt idx="4">
                  <c:v>8100</c:v>
                </c:pt>
                <c:pt idx="5">
                  <c:v>9750</c:v>
                </c:pt>
                <c:pt idx="6">
                  <c:v>7950</c:v>
                </c:pt>
                <c:pt idx="7">
                  <c:v>6750</c:v>
                </c:pt>
                <c:pt idx="8">
                  <c:v>8850</c:v>
                </c:pt>
                <c:pt idx="9">
                  <c:v>9400</c:v>
                </c:pt>
                <c:pt idx="10">
                  <c:v>9900</c:v>
                </c:pt>
                <c:pt idx="11">
                  <c:v>5500</c:v>
                </c:pt>
                <c:pt idx="12">
                  <c:v>7310</c:v>
                </c:pt>
                <c:pt idx="13">
                  <c:v>6348</c:v>
                </c:pt>
                <c:pt idx="14">
                  <c:v>6758</c:v>
                </c:pt>
                <c:pt idx="15">
                  <c:v>7550</c:v>
                </c:pt>
                <c:pt idx="16">
                  <c:v>8830</c:v>
                </c:pt>
                <c:pt idx="17">
                  <c:v>4610</c:v>
                </c:pt>
                <c:pt idx="18">
                  <c:v>6680</c:v>
                </c:pt>
                <c:pt idx="19">
                  <c:v>7250</c:v>
                </c:pt>
                <c:pt idx="20">
                  <c:v>5550</c:v>
                </c:pt>
                <c:pt idx="21">
                  <c:v>9660</c:v>
                </c:pt>
                <c:pt idx="22">
                  <c:v>8100</c:v>
                </c:pt>
                <c:pt idx="23">
                  <c:v>9900</c:v>
                </c:pt>
                <c:pt idx="24">
                  <c:v>9450</c:v>
                </c:pt>
                <c:pt idx="25">
                  <c:v>4250</c:v>
                </c:pt>
                <c:pt idx="2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F-4BE8-9F43-212C7502B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156704"/>
        <c:axId val="679281456"/>
      </c:barChart>
      <c:lineChart>
        <c:grouping val="standard"/>
        <c:varyColors val="0"/>
        <c:ser>
          <c:idx val="2"/>
          <c:order val="2"/>
          <c:tx>
            <c:strRef>
              <c:f>'10H排产负荷率'!$A$4</c:f>
              <c:strCache>
                <c:ptCount val="1"/>
                <c:pt idx="0">
                  <c:v>10H排产负荷率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'10H排产负荷率'!$B$1:$AB$1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'10H排产负荷率'!$B$4:$AB$4</c:f>
              <c:numCache>
                <c:formatCode>0.00%</c:formatCode>
                <c:ptCount val="27"/>
                <c:pt idx="0">
                  <c:v>0.93169999999999997</c:v>
                </c:pt>
                <c:pt idx="1">
                  <c:v>0.95760000000000001</c:v>
                </c:pt>
                <c:pt idx="2">
                  <c:v>0.9214</c:v>
                </c:pt>
                <c:pt idx="3">
                  <c:v>1.0507</c:v>
                </c:pt>
                <c:pt idx="4">
                  <c:v>0.97829999999999995</c:v>
                </c:pt>
                <c:pt idx="5">
                  <c:v>1.0093000000000001</c:v>
                </c:pt>
                <c:pt idx="6">
                  <c:v>0.82299999999999995</c:v>
                </c:pt>
                <c:pt idx="7">
                  <c:v>0.96430000000000005</c:v>
                </c:pt>
                <c:pt idx="8">
                  <c:v>0.91610000000000003</c:v>
                </c:pt>
                <c:pt idx="9">
                  <c:v>0.97309999999999997</c:v>
                </c:pt>
                <c:pt idx="10">
                  <c:v>1.0247999999999999</c:v>
                </c:pt>
                <c:pt idx="11">
                  <c:v>0.91669999999999996</c:v>
                </c:pt>
                <c:pt idx="12">
                  <c:v>0.75670000000000004</c:v>
                </c:pt>
                <c:pt idx="13">
                  <c:v>0.76670000000000005</c:v>
                </c:pt>
                <c:pt idx="14">
                  <c:v>0.83430000000000004</c:v>
                </c:pt>
                <c:pt idx="15">
                  <c:v>0.78159999999999996</c:v>
                </c:pt>
                <c:pt idx="16">
                  <c:v>0.91410000000000002</c:v>
                </c:pt>
                <c:pt idx="17">
                  <c:v>0.85370000000000001</c:v>
                </c:pt>
                <c:pt idx="18">
                  <c:v>0.86750000000000005</c:v>
                </c:pt>
                <c:pt idx="19">
                  <c:v>1.3426</c:v>
                </c:pt>
                <c:pt idx="20">
                  <c:v>0.77080000000000004</c:v>
                </c:pt>
                <c:pt idx="21">
                  <c:v>1</c:v>
                </c:pt>
                <c:pt idx="22">
                  <c:v>0.83850000000000002</c:v>
                </c:pt>
                <c:pt idx="23">
                  <c:v>1.0247999999999999</c:v>
                </c:pt>
                <c:pt idx="24">
                  <c:v>0.97829999999999995</c:v>
                </c:pt>
                <c:pt idx="25">
                  <c:v>0.86729999999999996</c:v>
                </c:pt>
                <c:pt idx="26">
                  <c:v>0.83330000000000004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FF-4BE8-9F43-212C7502B3AC}"/>
            </c:ext>
          </c:extLst>
        </c:ser>
        <c:ser>
          <c:idx val="3"/>
          <c:order val="3"/>
          <c:tx>
            <c:strRef>
              <c:f>'10H排产负荷率'!$A$5</c:f>
              <c:strCache>
                <c:ptCount val="1"/>
                <c:pt idx="0">
                  <c:v>10H排产冗余率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'10H排产负荷率'!$B$1:$AB$1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'10H排产负荷率'!$B$5:$AB$5</c:f>
              <c:numCache>
                <c:formatCode>0.00%</c:formatCode>
                <c:ptCount val="27"/>
                <c:pt idx="0">
                  <c:v>6.8300000000000027E-2</c:v>
                </c:pt>
                <c:pt idx="1">
                  <c:v>4.2399999999999993E-2</c:v>
                </c:pt>
                <c:pt idx="2">
                  <c:v>7.8600000000000003E-2</c:v>
                </c:pt>
                <c:pt idx="3">
                  <c:v>-5.0699999999999967E-2</c:v>
                </c:pt>
                <c:pt idx="4">
                  <c:v>2.1700000000000053E-2</c:v>
                </c:pt>
                <c:pt idx="5">
                  <c:v>-9.300000000000086E-3</c:v>
                </c:pt>
                <c:pt idx="6">
                  <c:v>0.17700000000000005</c:v>
                </c:pt>
                <c:pt idx="7">
                  <c:v>3.5699999999999954E-2</c:v>
                </c:pt>
                <c:pt idx="8">
                  <c:v>8.3899999999999975E-2</c:v>
                </c:pt>
                <c:pt idx="9">
                  <c:v>2.6900000000000035E-2</c:v>
                </c:pt>
                <c:pt idx="10">
                  <c:v>-2.4799999999999933E-2</c:v>
                </c:pt>
                <c:pt idx="11">
                  <c:v>8.3300000000000041E-2</c:v>
                </c:pt>
                <c:pt idx="12">
                  <c:v>0.24329999999999996</c:v>
                </c:pt>
                <c:pt idx="13">
                  <c:v>0.23329999999999995</c:v>
                </c:pt>
                <c:pt idx="14">
                  <c:v>0.16569999999999996</c:v>
                </c:pt>
                <c:pt idx="15">
                  <c:v>0.21840000000000004</c:v>
                </c:pt>
                <c:pt idx="16">
                  <c:v>8.5899999999999976E-2</c:v>
                </c:pt>
                <c:pt idx="17">
                  <c:v>0.14629999999999999</c:v>
                </c:pt>
                <c:pt idx="18">
                  <c:v>0.13249999999999995</c:v>
                </c:pt>
                <c:pt idx="19">
                  <c:v>-0.34260000000000002</c:v>
                </c:pt>
                <c:pt idx="20">
                  <c:v>0.22919999999999996</c:v>
                </c:pt>
                <c:pt idx="21">
                  <c:v>0</c:v>
                </c:pt>
                <c:pt idx="22">
                  <c:v>0.16149999999999998</c:v>
                </c:pt>
                <c:pt idx="23">
                  <c:v>-2.4799999999999933E-2</c:v>
                </c:pt>
                <c:pt idx="24">
                  <c:v>2.1700000000000053E-2</c:v>
                </c:pt>
                <c:pt idx="25">
                  <c:v>0.13270000000000004</c:v>
                </c:pt>
                <c:pt idx="26">
                  <c:v>0.16669999999999996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F-4BE8-9F43-212C7502B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169696"/>
        <c:axId val="679274736"/>
      </c:lineChart>
      <c:catAx>
        <c:axId val="68215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9281456"/>
        <c:crosses val="autoZero"/>
        <c:auto val="1"/>
        <c:lblAlgn val="ctr"/>
        <c:lblOffset val="100"/>
        <c:noMultiLvlLbl val="0"/>
      </c:catAx>
      <c:valAx>
        <c:axId val="6792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156704"/>
        <c:crosses val="autoZero"/>
        <c:crossBetween val="between"/>
      </c:valAx>
      <c:valAx>
        <c:axId val="6792747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169696"/>
        <c:crosses val="max"/>
        <c:crossBetween val="between"/>
      </c:valAx>
      <c:catAx>
        <c:axId val="682169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9274736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计划达成率!$A$4</c:f>
              <c:strCache>
                <c:ptCount val="1"/>
                <c:pt idx="0">
                  <c:v>计划达成率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计划达成率!$B$1:$AB$1</c:f>
              <c:strCache>
                <c:ptCount val="27"/>
                <c:pt idx="0">
                  <c:v>B01</c:v>
                </c:pt>
                <c:pt idx="1">
                  <c:v>B02</c:v>
                </c:pt>
                <c:pt idx="2">
                  <c:v>B03</c:v>
                </c:pt>
                <c:pt idx="3">
                  <c:v>B04</c:v>
                </c:pt>
                <c:pt idx="4">
                  <c:v>B05</c:v>
                </c:pt>
                <c:pt idx="5">
                  <c:v>B06</c:v>
                </c:pt>
                <c:pt idx="6">
                  <c:v>B07</c:v>
                </c:pt>
                <c:pt idx="7">
                  <c:v>B08</c:v>
                </c:pt>
                <c:pt idx="8">
                  <c:v>B09</c:v>
                </c:pt>
                <c:pt idx="9">
                  <c:v>B10</c:v>
                </c:pt>
                <c:pt idx="10">
                  <c:v>B11</c:v>
                </c:pt>
                <c:pt idx="11">
                  <c:v>B12</c:v>
                </c:pt>
                <c:pt idx="12">
                  <c:v>C01</c:v>
                </c:pt>
                <c:pt idx="13">
                  <c:v>C02</c:v>
                </c:pt>
                <c:pt idx="14">
                  <c:v>C03</c:v>
                </c:pt>
                <c:pt idx="15">
                  <c:v>C04</c:v>
                </c:pt>
                <c:pt idx="16">
                  <c:v>C05</c:v>
                </c:pt>
                <c:pt idx="17">
                  <c:v>C06</c:v>
                </c:pt>
                <c:pt idx="18">
                  <c:v>C07</c:v>
                </c:pt>
                <c:pt idx="19">
                  <c:v>C08</c:v>
                </c:pt>
                <c:pt idx="20">
                  <c:v>C11</c:v>
                </c:pt>
                <c:pt idx="21">
                  <c:v>Y01</c:v>
                </c:pt>
                <c:pt idx="22">
                  <c:v>Y03</c:v>
                </c:pt>
                <c:pt idx="23">
                  <c:v>Y09</c:v>
                </c:pt>
                <c:pt idx="24">
                  <c:v>Y10</c:v>
                </c:pt>
                <c:pt idx="25">
                  <c:v>Y11</c:v>
                </c:pt>
                <c:pt idx="26">
                  <c:v>YC09</c:v>
                </c:pt>
              </c:strCache>
            </c:strRef>
          </c:cat>
          <c:val>
            <c:numRef>
              <c:f>计划达成率!$B$4:$AB$4</c:f>
              <c:numCache>
                <c:formatCode>General</c:formatCode>
                <c:ptCount val="27"/>
                <c:pt idx="0">
                  <c:v>0.96</c:v>
                </c:pt>
                <c:pt idx="1">
                  <c:v>1.06</c:v>
                </c:pt>
                <c:pt idx="2">
                  <c:v>0.98</c:v>
                </c:pt>
                <c:pt idx="3">
                  <c:v>0.98</c:v>
                </c:pt>
                <c:pt idx="4">
                  <c:v>1.0900000000000001</c:v>
                </c:pt>
                <c:pt idx="5">
                  <c:v>1.02</c:v>
                </c:pt>
                <c:pt idx="6">
                  <c:v>1</c:v>
                </c:pt>
                <c:pt idx="7">
                  <c:v>1.03</c:v>
                </c:pt>
                <c:pt idx="8">
                  <c:v>1.06</c:v>
                </c:pt>
                <c:pt idx="9">
                  <c:v>1</c:v>
                </c:pt>
                <c:pt idx="10">
                  <c:v>1</c:v>
                </c:pt>
                <c:pt idx="11">
                  <c:v>0.98</c:v>
                </c:pt>
                <c:pt idx="12">
                  <c:v>1.06</c:v>
                </c:pt>
                <c:pt idx="13">
                  <c:v>1.01</c:v>
                </c:pt>
                <c:pt idx="14">
                  <c:v>1</c:v>
                </c:pt>
                <c:pt idx="15">
                  <c:v>1.04</c:v>
                </c:pt>
                <c:pt idx="16">
                  <c:v>0.84</c:v>
                </c:pt>
                <c:pt idx="17">
                  <c:v>1.04</c:v>
                </c:pt>
                <c:pt idx="18">
                  <c:v>0.95</c:v>
                </c:pt>
                <c:pt idx="19">
                  <c:v>0.75</c:v>
                </c:pt>
                <c:pt idx="20">
                  <c:v>0.98</c:v>
                </c:pt>
                <c:pt idx="21">
                  <c:v>1.02</c:v>
                </c:pt>
                <c:pt idx="22">
                  <c:v>1.1200000000000001</c:v>
                </c:pt>
                <c:pt idx="23">
                  <c:v>1.01</c:v>
                </c:pt>
                <c:pt idx="24">
                  <c:v>1.01</c:v>
                </c:pt>
                <c:pt idx="25">
                  <c:v>0.96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4F-427F-A570-252C0BD5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7784304"/>
        <c:axId val="1547784784"/>
      </c:barChart>
      <c:catAx>
        <c:axId val="154778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7784784"/>
        <c:crosses val="autoZero"/>
        <c:auto val="1"/>
        <c:lblAlgn val="ctr"/>
        <c:lblOffset val="100"/>
        <c:noMultiLvlLbl val="0"/>
      </c:catAx>
      <c:valAx>
        <c:axId val="154778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778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654050</xdr:colOff>
      <xdr:row>4</xdr:row>
      <xdr:rowOff>50800</xdr:rowOff>
    </xdr:from>
    <xdr:to>
      <xdr:col>15</xdr:col>
      <xdr:colOff>603250</xdr:colOff>
      <xdr:row>19</xdr:row>
      <xdr:rowOff>127000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D1B5CD5-4CA5-57C1-26D1-20C4296FB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260350</xdr:colOff>
      <xdr:row>4</xdr:row>
      <xdr:rowOff>146050</xdr:rowOff>
    </xdr:from>
    <xdr:to>
      <xdr:col>13</xdr:col>
      <xdr:colOff>209550</xdr:colOff>
      <xdr:row>20</xdr:row>
      <xdr:rowOff>44450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47B26D7-B3CC-00BB-044E-026EFF3A9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330200</xdr:colOff>
      <xdr:row>6</xdr:row>
      <xdr:rowOff>95250</xdr:rowOff>
    </xdr:from>
    <xdr:to>
      <xdr:col>25</xdr:col>
      <xdr:colOff>50800</xdr:colOff>
      <xdr:row>29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A355F4-5C91-3855-F1AC-ADB334407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6</xdr:row>
      <xdr:rowOff>25400</xdr:rowOff>
    </xdr:from>
    <xdr:to>
      <xdr:col>27</xdr:col>
      <xdr:colOff>381000</xdr:colOff>
      <xdr:row>32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DAFAA59-E938-AA7D-6D33-831441BC8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4</xdr:row>
      <xdr:rowOff>114300</xdr:rowOff>
    </xdr:from>
    <xdr:to>
      <xdr:col>17</xdr:col>
      <xdr:colOff>279400</xdr:colOff>
      <xdr:row>32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ECA2EC-6234-19E8-974C-46ABB01D4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7</xdr:row>
      <xdr:rowOff>107950</xdr:rowOff>
    </xdr:from>
    <xdr:to>
      <xdr:col>13</xdr:col>
      <xdr:colOff>571500</xdr:colOff>
      <xdr:row>33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D8687C-28FF-865D-57BF-C48772C53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622300</xdr:colOff>
      <xdr:row>6</xdr:row>
      <xdr:rowOff>152400</xdr:rowOff>
    </xdr:from>
    <xdr:to>
      <xdr:col>27</xdr:col>
      <xdr:colOff>234950</xdr:colOff>
      <xdr:row>33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37CB794-E4FF-D899-369A-6B4F80D62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6</xdr:row>
      <xdr:rowOff>152400</xdr:rowOff>
    </xdr:from>
    <xdr:to>
      <xdr:col>23</xdr:col>
      <xdr:colOff>241300</xdr:colOff>
      <xdr:row>34</xdr:row>
      <xdr:rowOff>133350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8FEE3B5-0269-F212-366A-C01D54862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AB13-1C14-429F-8573-6937F450E8A5}">
  <dimension ref="A1:H12"/>
  <sheetViews>
    <sheetView workbookViewId="0">
      <selection activeCell="L3" sqref="L3"/>
    </sheetView>
  </sheetViews>
  <sheetFormatPr defaultRowHeight="14" x14ac:dyDescent="0.3"/>
  <cols>
    <col min="1" max="1" width="10.6640625" customWidth="1"/>
  </cols>
  <sheetData>
    <row r="1" spans="1:8" x14ac:dyDescent="0.3">
      <c r="A1" s="13" t="s">
        <v>99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3" t="s">
        <v>106</v>
      </c>
    </row>
    <row r="2" spans="1:8" x14ac:dyDescent="0.3">
      <c r="A2" s="13" t="s">
        <v>108</v>
      </c>
      <c r="B2" s="14">
        <v>403071</v>
      </c>
      <c r="C2" s="14">
        <v>159022</v>
      </c>
      <c r="D2" s="14">
        <v>399988</v>
      </c>
      <c r="E2" s="14">
        <v>432484</v>
      </c>
      <c r="F2" s="14">
        <v>521902</v>
      </c>
      <c r="G2" s="14">
        <v>687726</v>
      </c>
      <c r="H2" s="14">
        <v>633776</v>
      </c>
    </row>
    <row r="3" spans="1:8" x14ac:dyDescent="0.3">
      <c r="A3" s="13" t="s">
        <v>107</v>
      </c>
      <c r="B3" s="14">
        <v>397338</v>
      </c>
      <c r="C3" s="14">
        <v>154082</v>
      </c>
      <c r="D3" s="14">
        <v>392270</v>
      </c>
      <c r="E3" s="14">
        <v>426799</v>
      </c>
      <c r="F3" s="14">
        <v>517718</v>
      </c>
      <c r="G3" s="14">
        <v>680329</v>
      </c>
      <c r="H3" s="14">
        <v>635898</v>
      </c>
    </row>
    <row r="4" spans="1:8" x14ac:dyDescent="0.3">
      <c r="A4" s="13" t="s">
        <v>114</v>
      </c>
      <c r="B4" s="15">
        <f>B3-B2</f>
        <v>-5733</v>
      </c>
      <c r="C4" s="15">
        <f t="shared" ref="C4:H4" si="0">C3-C2</f>
        <v>-4940</v>
      </c>
      <c r="D4" s="15">
        <f t="shared" si="0"/>
        <v>-7718</v>
      </c>
      <c r="E4" s="15">
        <f t="shared" si="0"/>
        <v>-5685</v>
      </c>
      <c r="F4" s="15">
        <f t="shared" si="0"/>
        <v>-4184</v>
      </c>
      <c r="G4" s="15">
        <f t="shared" si="0"/>
        <v>-7397</v>
      </c>
      <c r="H4" s="15">
        <f t="shared" si="0"/>
        <v>2122</v>
      </c>
    </row>
    <row r="5" spans="1:8" x14ac:dyDescent="0.3">
      <c r="A5" s="13" t="s">
        <v>120</v>
      </c>
      <c r="B5" s="16">
        <f>B3/B2</f>
        <v>0.98577669939043</v>
      </c>
      <c r="C5" s="16">
        <f t="shared" ref="C5:H5" si="1">C3/C2</f>
        <v>0.96893511589591375</v>
      </c>
      <c r="D5" s="16">
        <f t="shared" si="1"/>
        <v>0.98070442113263401</v>
      </c>
      <c r="E5" s="16">
        <f t="shared" si="1"/>
        <v>0.98685500504064894</v>
      </c>
      <c r="F5" s="16">
        <f t="shared" si="1"/>
        <v>0.99198316925399788</v>
      </c>
      <c r="G5" s="16">
        <f t="shared" si="1"/>
        <v>0.98924426297682511</v>
      </c>
      <c r="H5" s="16">
        <f t="shared" si="1"/>
        <v>1.0033481861099189</v>
      </c>
    </row>
    <row r="7" spans="1:8" x14ac:dyDescent="0.3">
      <c r="A7" t="s">
        <v>115</v>
      </c>
    </row>
    <row r="8" spans="1:8" x14ac:dyDescent="0.3">
      <c r="A8" t="s">
        <v>121</v>
      </c>
    </row>
    <row r="9" spans="1:8" x14ac:dyDescent="0.3">
      <c r="A9" t="s">
        <v>116</v>
      </c>
    </row>
    <row r="10" spans="1:8" x14ac:dyDescent="0.3">
      <c r="A10" t="s">
        <v>117</v>
      </c>
    </row>
    <row r="11" spans="1:8" x14ac:dyDescent="0.3">
      <c r="A11" t="s">
        <v>118</v>
      </c>
    </row>
    <row r="12" spans="1:8" x14ac:dyDescent="0.3">
      <c r="A12" t="s">
        <v>119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CDCB-2A3A-4D86-9D1D-339DF0F07241}">
  <dimension ref="A1:E5"/>
  <sheetViews>
    <sheetView workbookViewId="0">
      <selection activeCell="D8" sqref="D8"/>
    </sheetView>
  </sheetViews>
  <sheetFormatPr defaultRowHeight="14" x14ac:dyDescent="0.3"/>
  <cols>
    <col min="1" max="1" width="11.6640625" customWidth="1"/>
  </cols>
  <sheetData>
    <row r="1" spans="1:5" x14ac:dyDescent="0.3">
      <c r="A1" s="13" t="s">
        <v>109</v>
      </c>
      <c r="B1" s="13" t="s">
        <v>110</v>
      </c>
      <c r="C1" s="13" t="s">
        <v>111</v>
      </c>
      <c r="D1" s="13" t="s">
        <v>112</v>
      </c>
      <c r="E1" s="13" t="s">
        <v>113</v>
      </c>
    </row>
    <row r="2" spans="1:5" x14ac:dyDescent="0.3">
      <c r="A2" s="13" t="s">
        <v>108</v>
      </c>
      <c r="B2" s="14">
        <v>147199</v>
      </c>
      <c r="C2" s="14">
        <v>166577</v>
      </c>
      <c r="D2" s="14">
        <v>205533</v>
      </c>
      <c r="E2" s="14"/>
    </row>
    <row r="3" spans="1:5" x14ac:dyDescent="0.3">
      <c r="A3" s="13" t="s">
        <v>107</v>
      </c>
      <c r="B3" s="14">
        <v>159281</v>
      </c>
      <c r="C3" s="14">
        <v>161617</v>
      </c>
      <c r="D3" s="14">
        <v>205107</v>
      </c>
      <c r="E3" s="14"/>
    </row>
    <row r="4" spans="1:5" x14ac:dyDescent="0.3">
      <c r="A4" s="13" t="s">
        <v>114</v>
      </c>
      <c r="B4" s="14">
        <f>B3-B2</f>
        <v>12082</v>
      </c>
      <c r="C4" s="14">
        <f t="shared" ref="C4:D4" si="0">C3-C2</f>
        <v>-4960</v>
      </c>
      <c r="D4" s="14">
        <f t="shared" si="0"/>
        <v>-426</v>
      </c>
      <c r="E4" s="14"/>
    </row>
    <row r="5" spans="1:5" x14ac:dyDescent="0.3">
      <c r="A5" s="13" t="s">
        <v>120</v>
      </c>
      <c r="B5" s="16">
        <f>B3/B2</f>
        <v>1.0820793619521871</v>
      </c>
      <c r="C5" s="16">
        <f t="shared" ref="C5:D5" si="1">C3/C2</f>
        <v>0.97022398050150982</v>
      </c>
      <c r="D5" s="16">
        <f>D3/D2</f>
        <v>0.99792734013516082</v>
      </c>
      <c r="E5" s="14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"/>
  <sheetViews>
    <sheetView topLeftCell="L7" workbookViewId="0">
      <selection activeCell="R9" sqref="R9"/>
    </sheetView>
  </sheetViews>
  <sheetFormatPr defaultRowHeight="14" x14ac:dyDescent="0.3"/>
  <cols>
    <col min="1" max="1" width="10.9140625" customWidth="1"/>
    <col min="4" max="4" width="11.1640625" customWidth="1"/>
  </cols>
  <sheetData>
    <row r="1" spans="1:28" x14ac:dyDescent="0.3">
      <c r="A1" s="25" t="s">
        <v>125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3">
      <c r="A2" s="4" t="s">
        <v>27</v>
      </c>
      <c r="B2" s="4">
        <v>9000</v>
      </c>
      <c r="C2" s="4">
        <v>9250</v>
      </c>
      <c r="D2" s="4">
        <v>6450</v>
      </c>
      <c r="E2" s="4">
        <v>8700</v>
      </c>
      <c r="F2" s="4">
        <v>8100</v>
      </c>
      <c r="G2" s="4">
        <v>9750</v>
      </c>
      <c r="H2" s="4">
        <v>7950</v>
      </c>
      <c r="I2" s="4">
        <v>6750</v>
      </c>
      <c r="J2" s="4">
        <v>8850</v>
      </c>
      <c r="K2" s="4">
        <v>9400</v>
      </c>
      <c r="L2" s="4">
        <v>9900</v>
      </c>
      <c r="M2" s="4">
        <v>5500</v>
      </c>
      <c r="N2" s="4">
        <v>7310</v>
      </c>
      <c r="O2" s="4">
        <v>6348</v>
      </c>
      <c r="P2" s="4">
        <v>8100</v>
      </c>
      <c r="Q2" s="4">
        <v>7550</v>
      </c>
      <c r="R2" s="4">
        <v>8830</v>
      </c>
      <c r="S2" s="4">
        <v>4610</v>
      </c>
      <c r="T2" s="4">
        <v>6680</v>
      </c>
      <c r="U2" s="4">
        <v>8550</v>
      </c>
      <c r="V2" s="4">
        <v>5550</v>
      </c>
      <c r="W2" s="4">
        <v>9550</v>
      </c>
      <c r="X2" s="4">
        <v>8100</v>
      </c>
      <c r="Y2" s="4">
        <v>9900</v>
      </c>
      <c r="Z2" s="4">
        <v>9450</v>
      </c>
      <c r="AA2" s="4">
        <v>1000</v>
      </c>
      <c r="AB2" s="4">
        <v>4250</v>
      </c>
    </row>
    <row r="3" spans="1:28" x14ac:dyDescent="0.3">
      <c r="A3" s="4" t="s">
        <v>28</v>
      </c>
      <c r="B3" s="4">
        <v>8674</v>
      </c>
      <c r="C3" s="4">
        <v>9827</v>
      </c>
      <c r="D3" s="4">
        <v>6301</v>
      </c>
      <c r="E3" s="4">
        <v>8621</v>
      </c>
      <c r="F3" s="4">
        <v>8818</v>
      </c>
      <c r="G3" s="4">
        <v>9992</v>
      </c>
      <c r="H3" s="4">
        <v>7976</v>
      </c>
      <c r="I3" s="4">
        <v>6982</v>
      </c>
      <c r="J3" s="4">
        <v>9378</v>
      </c>
      <c r="K3" s="4">
        <v>9399</v>
      </c>
      <c r="L3" s="4">
        <v>9920</v>
      </c>
      <c r="M3" s="4">
        <v>5375</v>
      </c>
      <c r="N3" s="4">
        <v>7762</v>
      </c>
      <c r="O3" s="4">
        <v>6417</v>
      </c>
      <c r="P3" s="4">
        <v>6733</v>
      </c>
      <c r="Q3" s="4">
        <v>7846</v>
      </c>
      <c r="R3" s="4">
        <v>7373</v>
      </c>
      <c r="S3" s="4">
        <v>4798</v>
      </c>
      <c r="T3" s="4">
        <v>6379</v>
      </c>
      <c r="U3" s="4">
        <v>7336</v>
      </c>
      <c r="V3" s="4">
        <v>5463</v>
      </c>
      <c r="W3" s="4">
        <v>9880</v>
      </c>
      <c r="X3" s="4">
        <v>9067</v>
      </c>
      <c r="Y3" s="4">
        <v>10005</v>
      </c>
      <c r="Z3" s="4">
        <v>9556</v>
      </c>
      <c r="AA3" s="4">
        <v>1000</v>
      </c>
      <c r="AB3" s="4">
        <v>4096</v>
      </c>
    </row>
    <row r="4" spans="1:28" x14ac:dyDescent="0.3">
      <c r="A4" s="7" t="s">
        <v>114</v>
      </c>
      <c r="B4" s="4">
        <f>B3-B2</f>
        <v>-326</v>
      </c>
      <c r="C4" s="4">
        <f t="shared" ref="C4:AB4" si="0">C3-C2</f>
        <v>577</v>
      </c>
      <c r="D4" s="4">
        <f t="shared" si="0"/>
        <v>-149</v>
      </c>
      <c r="E4" s="4">
        <f t="shared" si="0"/>
        <v>-79</v>
      </c>
      <c r="F4" s="4">
        <f t="shared" si="0"/>
        <v>718</v>
      </c>
      <c r="G4" s="4">
        <f t="shared" si="0"/>
        <v>242</v>
      </c>
      <c r="H4" s="4">
        <f t="shared" si="0"/>
        <v>26</v>
      </c>
      <c r="I4" s="4">
        <f t="shared" si="0"/>
        <v>232</v>
      </c>
      <c r="J4" s="4">
        <f t="shared" si="0"/>
        <v>528</v>
      </c>
      <c r="K4" s="4">
        <f t="shared" si="0"/>
        <v>-1</v>
      </c>
      <c r="L4" s="4">
        <f t="shared" si="0"/>
        <v>20</v>
      </c>
      <c r="M4" s="4">
        <f t="shared" si="0"/>
        <v>-125</v>
      </c>
      <c r="N4" s="4">
        <f t="shared" si="0"/>
        <v>452</v>
      </c>
      <c r="O4" s="4">
        <f t="shared" si="0"/>
        <v>69</v>
      </c>
      <c r="P4" s="4">
        <f t="shared" si="0"/>
        <v>-1367</v>
      </c>
      <c r="Q4" s="4">
        <f t="shared" si="0"/>
        <v>296</v>
      </c>
      <c r="R4" s="4">
        <f t="shared" si="0"/>
        <v>-1457</v>
      </c>
      <c r="S4" s="4">
        <f t="shared" si="0"/>
        <v>188</v>
      </c>
      <c r="T4" s="4">
        <f t="shared" si="0"/>
        <v>-301</v>
      </c>
      <c r="U4" s="4">
        <f t="shared" si="0"/>
        <v>-1214</v>
      </c>
      <c r="V4" s="4">
        <f t="shared" si="0"/>
        <v>-87</v>
      </c>
      <c r="W4" s="4">
        <f t="shared" si="0"/>
        <v>330</v>
      </c>
      <c r="X4" s="4">
        <f t="shared" si="0"/>
        <v>967</v>
      </c>
      <c r="Y4" s="4">
        <f t="shared" si="0"/>
        <v>105</v>
      </c>
      <c r="Z4" s="4">
        <f t="shared" si="0"/>
        <v>106</v>
      </c>
      <c r="AA4" s="4">
        <f t="shared" si="0"/>
        <v>0</v>
      </c>
      <c r="AB4" s="4">
        <f t="shared" si="0"/>
        <v>-154</v>
      </c>
    </row>
    <row r="5" spans="1:28" s="2" customFormat="1" x14ac:dyDescent="0.3">
      <c r="A5" s="5" t="s">
        <v>29</v>
      </c>
      <c r="B5" s="5">
        <v>0.96379999999999999</v>
      </c>
      <c r="C5" s="5">
        <v>1.0624</v>
      </c>
      <c r="D5" s="5">
        <v>0.97689999999999999</v>
      </c>
      <c r="E5" s="5">
        <v>0.9909</v>
      </c>
      <c r="F5" s="5">
        <v>1.0886</v>
      </c>
      <c r="G5" s="5">
        <v>1.0247999999999999</v>
      </c>
      <c r="H5" s="5">
        <v>1.0033000000000001</v>
      </c>
      <c r="I5" s="5">
        <v>1.0344</v>
      </c>
      <c r="J5" s="5">
        <v>1.0597000000000001</v>
      </c>
      <c r="K5" s="5">
        <v>0.99990000000000001</v>
      </c>
      <c r="L5" s="5">
        <v>1.002</v>
      </c>
      <c r="M5" s="5">
        <v>0.97729999999999995</v>
      </c>
      <c r="N5" s="5">
        <v>1.0618000000000001</v>
      </c>
      <c r="O5" s="5">
        <v>1.0108999999999999</v>
      </c>
      <c r="P5" s="5">
        <v>0.83120000000000005</v>
      </c>
      <c r="Q5" s="5">
        <v>1.0391999999999999</v>
      </c>
      <c r="R5" s="5">
        <v>0.83499999999999996</v>
      </c>
      <c r="S5" s="5">
        <v>1.0407999999999999</v>
      </c>
      <c r="T5" s="5">
        <v>0.95489999999999997</v>
      </c>
      <c r="U5" s="5">
        <v>0.85799999999999998</v>
      </c>
      <c r="V5" s="5">
        <v>0.98429999999999995</v>
      </c>
      <c r="W5" s="5">
        <v>1.0346</v>
      </c>
      <c r="X5" s="5">
        <v>1.1194</v>
      </c>
      <c r="Y5" s="5">
        <v>1.0105999999999999</v>
      </c>
      <c r="Z5" s="5">
        <v>1.0112000000000001</v>
      </c>
      <c r="AA5" s="5">
        <v>1</v>
      </c>
      <c r="AB5" s="5">
        <v>0.96379999999999999</v>
      </c>
    </row>
    <row r="6" spans="1:28" x14ac:dyDescent="0.3">
      <c r="A6" s="4" t="s">
        <v>52</v>
      </c>
      <c r="B6" s="4">
        <v>205378</v>
      </c>
      <c r="C6" s="4">
        <v>204974</v>
      </c>
      <c r="D6" s="5" t="s">
        <v>53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3">
      <c r="D7" s="2"/>
    </row>
    <row r="8" spans="1:28" x14ac:dyDescent="0.3">
      <c r="D8" s="2"/>
    </row>
    <row r="9" spans="1:28" x14ac:dyDescent="0.3">
      <c r="D9" s="2"/>
    </row>
    <row r="10" spans="1:28" x14ac:dyDescent="0.3">
      <c r="D10" s="2"/>
    </row>
    <row r="11" spans="1:28" x14ac:dyDescent="0.3">
      <c r="D11" s="2"/>
    </row>
    <row r="12" spans="1:28" x14ac:dyDescent="0.3">
      <c r="D12" s="2"/>
    </row>
    <row r="13" spans="1:28" x14ac:dyDescent="0.3">
      <c r="D13" s="2"/>
    </row>
    <row r="14" spans="1:28" x14ac:dyDescent="0.3">
      <c r="D14" s="2"/>
    </row>
    <row r="15" spans="1:28" x14ac:dyDescent="0.3">
      <c r="D15" s="2"/>
    </row>
    <row r="16" spans="1:28" x14ac:dyDescent="0.3">
      <c r="D16" s="2"/>
    </row>
    <row r="17" spans="4:4" x14ac:dyDescent="0.3">
      <c r="D17" s="2"/>
    </row>
    <row r="18" spans="4:4" x14ac:dyDescent="0.3">
      <c r="D18" s="2"/>
    </row>
    <row r="19" spans="4:4" x14ac:dyDescent="0.3">
      <c r="D19" s="2"/>
    </row>
    <row r="20" spans="4:4" x14ac:dyDescent="0.3">
      <c r="D20" s="2"/>
    </row>
    <row r="21" spans="4:4" x14ac:dyDescent="0.3">
      <c r="D21" s="2"/>
    </row>
    <row r="22" spans="4:4" x14ac:dyDescent="0.3">
      <c r="D22" s="2"/>
    </row>
    <row r="23" spans="4:4" x14ac:dyDescent="0.3">
      <c r="D23" s="2"/>
    </row>
    <row r="24" spans="4:4" x14ac:dyDescent="0.3">
      <c r="D24" s="2"/>
    </row>
    <row r="25" spans="4:4" x14ac:dyDescent="0.3">
      <c r="D25" s="2"/>
    </row>
    <row r="26" spans="4:4" x14ac:dyDescent="0.3">
      <c r="D26" s="2"/>
    </row>
    <row r="27" spans="4:4" x14ac:dyDescent="0.3">
      <c r="D27" s="2"/>
    </row>
    <row r="28" spans="4:4" x14ac:dyDescent="0.3">
      <c r="D28" s="2"/>
    </row>
    <row r="29" spans="4:4" x14ac:dyDescent="0.3">
      <c r="D29" s="2"/>
    </row>
    <row r="30" spans="4:4" x14ac:dyDescent="0.3">
      <c r="D30" s="2"/>
    </row>
    <row r="31" spans="4:4" x14ac:dyDescent="0.3">
      <c r="D31" s="2"/>
    </row>
    <row r="32" spans="4:4" x14ac:dyDescent="0.3">
      <c r="D32" s="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M7" sqref="M7"/>
    </sheetView>
  </sheetViews>
  <sheetFormatPr defaultRowHeight="14" x14ac:dyDescent="0.3"/>
  <sheetData>
    <row r="1" spans="1:11" ht="15.5" customHeight="1" x14ac:dyDescent="0.35">
      <c r="A1" s="23" t="s">
        <v>54</v>
      </c>
      <c r="B1" s="22"/>
      <c r="C1" s="22"/>
      <c r="D1" s="22"/>
      <c r="E1" s="22"/>
      <c r="H1" s="21" t="s">
        <v>55</v>
      </c>
      <c r="I1" s="22"/>
      <c r="J1" s="22"/>
      <c r="K1" s="22"/>
    </row>
    <row r="2" spans="1:11" x14ac:dyDescent="0.3">
      <c r="A2" s="6" t="s">
        <v>56</v>
      </c>
      <c r="B2" s="6" t="s">
        <v>57</v>
      </c>
      <c r="C2" s="6" t="s">
        <v>58</v>
      </c>
      <c r="D2" s="6" t="s">
        <v>59</v>
      </c>
      <c r="E2" s="6" t="s">
        <v>60</v>
      </c>
      <c r="F2" s="4"/>
      <c r="G2" s="6" t="s">
        <v>56</v>
      </c>
      <c r="H2" s="6" t="s">
        <v>57</v>
      </c>
      <c r="I2" s="6" t="s">
        <v>58</v>
      </c>
      <c r="J2" s="6" t="s">
        <v>59</v>
      </c>
      <c r="K2" s="6" t="s">
        <v>60</v>
      </c>
    </row>
    <row r="3" spans="1:11" x14ac:dyDescent="0.3">
      <c r="A3" s="17" t="s">
        <v>0</v>
      </c>
      <c r="B3" s="4">
        <v>154</v>
      </c>
      <c r="C3" s="4">
        <v>16</v>
      </c>
      <c r="D3" s="4">
        <v>2</v>
      </c>
      <c r="E3" s="4">
        <v>9.6</v>
      </c>
      <c r="F3" s="4"/>
      <c r="G3" s="17" t="s">
        <v>12</v>
      </c>
      <c r="H3" s="4">
        <v>177</v>
      </c>
      <c r="I3" s="4">
        <v>20</v>
      </c>
      <c r="J3" s="4">
        <v>5</v>
      </c>
      <c r="K3" s="4">
        <v>8.8000000000000007</v>
      </c>
    </row>
    <row r="4" spans="1:11" x14ac:dyDescent="0.3">
      <c r="A4" s="17" t="s">
        <v>1</v>
      </c>
      <c r="B4" s="4">
        <v>192.5</v>
      </c>
      <c r="C4" s="4">
        <v>19</v>
      </c>
      <c r="D4" s="4">
        <v>8</v>
      </c>
      <c r="E4" s="4">
        <v>10.1</v>
      </c>
      <c r="F4" s="4"/>
      <c r="G4" s="17" t="s">
        <v>13</v>
      </c>
      <c r="H4" s="4">
        <v>159.5</v>
      </c>
      <c r="I4" s="4">
        <v>17</v>
      </c>
      <c r="J4" s="4">
        <v>3</v>
      </c>
      <c r="K4" s="4">
        <v>9.4</v>
      </c>
    </row>
    <row r="5" spans="1:11" x14ac:dyDescent="0.3">
      <c r="A5" s="17" t="s">
        <v>2</v>
      </c>
      <c r="B5" s="4">
        <v>172</v>
      </c>
      <c r="C5" s="4">
        <v>18</v>
      </c>
      <c r="D5" s="4">
        <v>0</v>
      </c>
      <c r="E5" s="4">
        <v>9.6</v>
      </c>
      <c r="F5" s="4"/>
      <c r="G5" s="17" t="s">
        <v>14</v>
      </c>
      <c r="H5" s="4">
        <v>152.5</v>
      </c>
      <c r="I5" s="4">
        <v>15</v>
      </c>
      <c r="J5" s="4">
        <v>6</v>
      </c>
      <c r="K5" s="4">
        <v>10.199999999999999</v>
      </c>
    </row>
    <row r="6" spans="1:11" x14ac:dyDescent="0.3">
      <c r="A6" s="17" t="s">
        <v>3</v>
      </c>
      <c r="B6" s="4">
        <v>188</v>
      </c>
      <c r="C6" s="4">
        <v>19</v>
      </c>
      <c r="D6" s="4">
        <v>5</v>
      </c>
      <c r="E6" s="4">
        <v>9.9</v>
      </c>
      <c r="F6" s="4"/>
      <c r="G6" s="17" t="s">
        <v>15</v>
      </c>
      <c r="H6" s="4">
        <v>162.5</v>
      </c>
      <c r="I6" s="4">
        <v>18</v>
      </c>
      <c r="J6" s="4">
        <v>0</v>
      </c>
      <c r="K6" s="4">
        <v>9</v>
      </c>
    </row>
    <row r="7" spans="1:11" x14ac:dyDescent="0.3">
      <c r="A7" s="17" t="s">
        <v>4</v>
      </c>
      <c r="B7" s="4">
        <v>179.5</v>
      </c>
      <c r="C7" s="4">
        <v>19</v>
      </c>
      <c r="D7" s="4">
        <v>5</v>
      </c>
      <c r="E7" s="4">
        <v>9.4</v>
      </c>
      <c r="F7" s="4"/>
      <c r="G7" s="17" t="s">
        <v>16</v>
      </c>
      <c r="H7" s="4">
        <v>197</v>
      </c>
      <c r="I7" s="4">
        <v>18</v>
      </c>
      <c r="J7" s="4">
        <v>13</v>
      </c>
      <c r="K7" s="4">
        <v>10.9</v>
      </c>
    </row>
    <row r="8" spans="1:11" x14ac:dyDescent="0.3">
      <c r="A8" s="17" t="s">
        <v>5</v>
      </c>
      <c r="B8" s="4">
        <v>192.5</v>
      </c>
      <c r="C8" s="4">
        <v>20</v>
      </c>
      <c r="D8" s="4">
        <v>7</v>
      </c>
      <c r="E8" s="4">
        <v>9.6</v>
      </c>
      <c r="F8" s="4"/>
      <c r="G8" s="17" t="s">
        <v>17</v>
      </c>
      <c r="H8" s="4">
        <v>173.5</v>
      </c>
      <c r="I8" s="4">
        <v>17</v>
      </c>
      <c r="J8" s="4">
        <v>9</v>
      </c>
      <c r="K8" s="4">
        <v>10.199999999999999</v>
      </c>
    </row>
    <row r="9" spans="1:11" x14ac:dyDescent="0.3">
      <c r="A9" s="17" t="s">
        <v>6</v>
      </c>
      <c r="B9" s="4">
        <v>202</v>
      </c>
      <c r="C9" s="4">
        <v>20</v>
      </c>
      <c r="D9" s="4">
        <v>9</v>
      </c>
      <c r="E9" s="4">
        <v>10.1</v>
      </c>
      <c r="F9" s="4"/>
      <c r="G9" s="17" t="s">
        <v>18</v>
      </c>
      <c r="H9" s="4">
        <v>205</v>
      </c>
      <c r="I9" s="4">
        <v>20</v>
      </c>
      <c r="J9" s="4">
        <v>13</v>
      </c>
      <c r="K9" s="4">
        <v>10.199999999999999</v>
      </c>
    </row>
    <row r="10" spans="1:11" x14ac:dyDescent="0.3">
      <c r="A10" s="17" t="s">
        <v>7</v>
      </c>
      <c r="B10" s="4">
        <v>220.5</v>
      </c>
      <c r="C10" s="4">
        <v>21</v>
      </c>
      <c r="D10" s="4">
        <v>11</v>
      </c>
      <c r="E10" s="4">
        <v>10.5</v>
      </c>
      <c r="F10" s="4"/>
      <c r="G10" s="17" t="s">
        <v>19</v>
      </c>
      <c r="H10" s="4">
        <v>203</v>
      </c>
      <c r="I10" s="4">
        <v>18</v>
      </c>
      <c r="J10" s="4">
        <v>15</v>
      </c>
      <c r="K10" s="4">
        <v>11.3</v>
      </c>
    </row>
    <row r="11" spans="1:11" x14ac:dyDescent="0.3">
      <c r="A11" s="17" t="s">
        <v>8</v>
      </c>
      <c r="B11" s="4">
        <v>172.5</v>
      </c>
      <c r="C11" s="4">
        <v>19</v>
      </c>
      <c r="D11" s="4">
        <v>0</v>
      </c>
      <c r="E11" s="4">
        <v>9.1</v>
      </c>
      <c r="F11" s="4"/>
      <c r="G11" s="17" t="s">
        <v>61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3">
      <c r="A12" s="17" t="s">
        <v>9</v>
      </c>
      <c r="B12" s="4">
        <v>200</v>
      </c>
      <c r="C12" s="4">
        <v>20</v>
      </c>
      <c r="D12" s="4">
        <v>0</v>
      </c>
      <c r="E12" s="4">
        <v>10</v>
      </c>
      <c r="F12" s="4"/>
      <c r="G12" s="17" t="s">
        <v>62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3">
      <c r="A13" s="17" t="s">
        <v>10</v>
      </c>
      <c r="B13" s="4">
        <v>205</v>
      </c>
      <c r="C13" s="4">
        <v>20</v>
      </c>
      <c r="D13" s="4">
        <v>10</v>
      </c>
      <c r="E13" s="4">
        <v>10.199999999999999</v>
      </c>
      <c r="F13" s="4"/>
      <c r="G13" s="17" t="s">
        <v>20</v>
      </c>
      <c r="H13" s="4">
        <v>190.5</v>
      </c>
      <c r="I13" s="4">
        <v>19</v>
      </c>
      <c r="J13" s="4">
        <v>6</v>
      </c>
      <c r="K13" s="4">
        <v>10</v>
      </c>
    </row>
    <row r="14" spans="1:11" x14ac:dyDescent="0.3">
      <c r="A14" s="17" t="s">
        <v>11</v>
      </c>
      <c r="B14" s="4">
        <v>73</v>
      </c>
      <c r="C14" s="4">
        <v>7</v>
      </c>
      <c r="D14" s="4">
        <v>5</v>
      </c>
      <c r="E14" s="4">
        <v>10.4</v>
      </c>
      <c r="F14" s="4"/>
      <c r="G14" s="4"/>
      <c r="H14" s="4"/>
      <c r="I14" s="4"/>
      <c r="J14" s="4"/>
      <c r="K14" s="4"/>
    </row>
    <row r="15" spans="1:11" x14ac:dyDescent="0.3">
      <c r="A15" s="17" t="s">
        <v>21</v>
      </c>
      <c r="B15" s="4">
        <v>178</v>
      </c>
      <c r="C15" s="4">
        <v>18</v>
      </c>
      <c r="D15" s="4">
        <v>0</v>
      </c>
      <c r="E15" s="4">
        <v>9.9</v>
      </c>
      <c r="F15" s="4"/>
      <c r="G15" s="4"/>
      <c r="H15" s="4"/>
      <c r="I15" s="4"/>
      <c r="J15" s="4"/>
      <c r="K15" s="4"/>
    </row>
    <row r="16" spans="1:11" x14ac:dyDescent="0.3">
      <c r="A16" s="17" t="s">
        <v>22</v>
      </c>
      <c r="B16" s="4">
        <v>176.5</v>
      </c>
      <c r="C16" s="4">
        <v>19</v>
      </c>
      <c r="D16" s="4">
        <v>0</v>
      </c>
      <c r="E16" s="4">
        <v>9.3000000000000007</v>
      </c>
      <c r="F16" s="4"/>
      <c r="G16" s="4"/>
      <c r="H16" s="4"/>
      <c r="I16" s="4"/>
      <c r="J16" s="4"/>
      <c r="K16" s="4"/>
    </row>
    <row r="17" spans="1:11" x14ac:dyDescent="0.3">
      <c r="A17" s="17" t="s">
        <v>23</v>
      </c>
      <c r="B17" s="4">
        <v>190</v>
      </c>
      <c r="C17" s="4">
        <v>19</v>
      </c>
      <c r="D17" s="4">
        <v>0</v>
      </c>
      <c r="E17" s="4">
        <v>10</v>
      </c>
      <c r="F17" s="4"/>
      <c r="G17" s="4"/>
      <c r="H17" s="4"/>
      <c r="I17" s="4"/>
      <c r="J17" s="4"/>
      <c r="K17" s="4"/>
    </row>
    <row r="18" spans="1:11" x14ac:dyDescent="0.3">
      <c r="A18" s="17" t="s">
        <v>24</v>
      </c>
      <c r="B18" s="4">
        <v>190</v>
      </c>
      <c r="C18" s="4">
        <v>19</v>
      </c>
      <c r="D18" s="4">
        <v>0</v>
      </c>
      <c r="E18" s="4">
        <v>10</v>
      </c>
      <c r="F18" s="4"/>
      <c r="G18" s="4"/>
      <c r="H18" s="4"/>
      <c r="I18" s="4"/>
      <c r="J18" s="4"/>
      <c r="K18" s="4"/>
    </row>
    <row r="19" spans="1:11" x14ac:dyDescent="0.3">
      <c r="A19" s="17" t="s">
        <v>25</v>
      </c>
      <c r="B19" s="4">
        <v>26</v>
      </c>
      <c r="C19" s="4">
        <v>3</v>
      </c>
      <c r="D19" s="4">
        <v>0</v>
      </c>
      <c r="E19" s="4">
        <v>8.6999999999999993</v>
      </c>
      <c r="F19" s="4"/>
      <c r="G19" s="4"/>
      <c r="H19" s="4"/>
      <c r="I19" s="4"/>
      <c r="J19" s="4"/>
      <c r="K19" s="4"/>
    </row>
    <row r="20" spans="1:11" x14ac:dyDescent="0.3">
      <c r="A20" s="17" t="s">
        <v>26</v>
      </c>
      <c r="B20" s="4">
        <v>116</v>
      </c>
      <c r="C20" s="4">
        <v>12</v>
      </c>
      <c r="D20" s="4">
        <v>0</v>
      </c>
      <c r="E20" s="4">
        <v>9.6999999999999993</v>
      </c>
      <c r="F20" s="4"/>
      <c r="G20" s="4"/>
      <c r="H20" s="4"/>
      <c r="I20" s="4"/>
      <c r="J20" s="4"/>
      <c r="K20" s="4"/>
    </row>
    <row r="21" spans="1:11" x14ac:dyDescent="0.3">
      <c r="A21" s="4" t="s">
        <v>52</v>
      </c>
      <c r="B21" s="4"/>
      <c r="C21" s="4"/>
      <c r="D21" s="4"/>
      <c r="E21" s="4"/>
      <c r="F21" s="4"/>
      <c r="G21" s="4"/>
      <c r="H21" s="4"/>
      <c r="I21" s="4"/>
      <c r="J21" s="4"/>
      <c r="K21" s="4"/>
    </row>
  </sheetData>
  <mergeCells count="2">
    <mergeCell ref="H1:K1"/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"/>
  <sheetViews>
    <sheetView topLeftCell="L4" workbookViewId="0">
      <selection activeCell="AB17" sqref="AB17"/>
    </sheetView>
  </sheetViews>
  <sheetFormatPr defaultRowHeight="14" x14ac:dyDescent="0.3"/>
  <cols>
    <col min="1" max="1" width="11.33203125" customWidth="1"/>
  </cols>
  <sheetData>
    <row r="1" spans="1:28" x14ac:dyDescent="0.3">
      <c r="A1" s="3" t="s">
        <v>56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63</v>
      </c>
      <c r="AB1" s="3" t="s">
        <v>25</v>
      </c>
    </row>
    <row r="2" spans="1:28" x14ac:dyDescent="0.3">
      <c r="A2" s="4" t="s">
        <v>64</v>
      </c>
      <c r="B2" s="4">
        <v>9522</v>
      </c>
      <c r="C2" s="4">
        <v>10281</v>
      </c>
      <c r="D2" s="4">
        <v>6800</v>
      </c>
      <c r="E2" s="4">
        <v>8970</v>
      </c>
      <c r="F2" s="4">
        <v>9522</v>
      </c>
      <c r="G2" s="4">
        <v>10695</v>
      </c>
      <c r="H2" s="4">
        <v>10764</v>
      </c>
      <c r="I2" s="4">
        <v>8200</v>
      </c>
      <c r="J2" s="4">
        <v>9522</v>
      </c>
      <c r="K2" s="4">
        <v>9660</v>
      </c>
      <c r="L2" s="4">
        <v>10350</v>
      </c>
      <c r="M2" s="4">
        <v>6500</v>
      </c>
      <c r="N2" s="4">
        <v>8556</v>
      </c>
      <c r="O2" s="4">
        <v>8073</v>
      </c>
      <c r="P2" s="4">
        <v>8004</v>
      </c>
      <c r="Q2" s="4">
        <v>8625</v>
      </c>
      <c r="R2" s="4">
        <v>5445</v>
      </c>
      <c r="S2" s="4">
        <v>7645</v>
      </c>
      <c r="T2" s="4">
        <v>6379</v>
      </c>
      <c r="U2" s="4">
        <v>8040</v>
      </c>
      <c r="V2" s="4">
        <v>5463</v>
      </c>
      <c r="W2" s="4">
        <v>9384</v>
      </c>
      <c r="X2" s="4">
        <v>9384</v>
      </c>
      <c r="Y2" s="4">
        <v>9660</v>
      </c>
      <c r="Z2" s="4">
        <v>9660</v>
      </c>
      <c r="AA2" s="4">
        <v>4760</v>
      </c>
      <c r="AB2" s="4">
        <v>1000</v>
      </c>
    </row>
    <row r="3" spans="1:28" x14ac:dyDescent="0.3">
      <c r="A3" s="4" t="s">
        <v>65</v>
      </c>
      <c r="B3" s="4">
        <v>8674</v>
      </c>
      <c r="C3" s="4">
        <v>9827</v>
      </c>
      <c r="D3" s="4">
        <v>6301</v>
      </c>
      <c r="E3" s="4">
        <v>8521</v>
      </c>
      <c r="F3" s="4">
        <v>8818</v>
      </c>
      <c r="G3" s="4">
        <v>9992</v>
      </c>
      <c r="H3" s="4">
        <v>7976</v>
      </c>
      <c r="I3" s="4">
        <v>6982</v>
      </c>
      <c r="J3" s="4">
        <v>9378</v>
      </c>
      <c r="K3" s="4">
        <v>9399</v>
      </c>
      <c r="L3" s="4">
        <v>9920</v>
      </c>
      <c r="M3" s="4">
        <v>5375</v>
      </c>
      <c r="N3" s="4">
        <v>7762</v>
      </c>
      <c r="O3" s="4">
        <v>6417</v>
      </c>
      <c r="P3" s="4">
        <v>6733</v>
      </c>
      <c r="Q3" s="4">
        <v>7846</v>
      </c>
      <c r="R3" s="4">
        <v>7373</v>
      </c>
      <c r="S3" s="4">
        <v>4798</v>
      </c>
      <c r="T3" s="4">
        <v>6379</v>
      </c>
      <c r="U3" s="4">
        <v>5463</v>
      </c>
      <c r="V3" s="4">
        <v>5463</v>
      </c>
      <c r="W3" s="4">
        <v>9880</v>
      </c>
      <c r="X3" s="4">
        <v>9067</v>
      </c>
      <c r="Y3" s="4">
        <v>10005</v>
      </c>
      <c r="Z3" s="4">
        <v>9556</v>
      </c>
      <c r="AA3" s="4">
        <v>4096</v>
      </c>
      <c r="AB3" s="4">
        <v>1000</v>
      </c>
    </row>
    <row r="4" spans="1:28" x14ac:dyDescent="0.3">
      <c r="A4" s="7" t="s">
        <v>91</v>
      </c>
      <c r="B4" s="5">
        <v>0.91090000000000004</v>
      </c>
      <c r="C4" s="5">
        <v>0.95579999999999998</v>
      </c>
      <c r="D4" s="5">
        <v>0.92659999999999998</v>
      </c>
      <c r="E4" s="5">
        <v>0.94989999999999997</v>
      </c>
      <c r="F4" s="5">
        <v>0.92610000000000003</v>
      </c>
      <c r="G4" s="5">
        <v>0.93430000000000002</v>
      </c>
      <c r="H4" s="5">
        <v>0.74099999999999999</v>
      </c>
      <c r="I4" s="5">
        <v>0.85150000000000003</v>
      </c>
      <c r="J4" s="5">
        <v>0.9849</v>
      </c>
      <c r="K4" s="5">
        <v>0.97299999999999998</v>
      </c>
      <c r="L4" s="5">
        <v>0.95850000000000002</v>
      </c>
      <c r="M4" s="5">
        <v>0.82689999999999997</v>
      </c>
      <c r="N4" s="5">
        <v>0.90720000000000001</v>
      </c>
      <c r="O4" s="5">
        <v>0.79490000000000005</v>
      </c>
      <c r="P4" s="5">
        <v>0.84119999999999995</v>
      </c>
      <c r="Q4" s="5">
        <v>0.90969999999999995</v>
      </c>
      <c r="R4" s="5">
        <v>1.3541000000000001</v>
      </c>
      <c r="S4" s="5">
        <v>0.62760000000000005</v>
      </c>
      <c r="T4" s="5">
        <v>1</v>
      </c>
      <c r="U4" s="5">
        <v>0.67949999999999999</v>
      </c>
      <c r="V4" s="5">
        <v>1</v>
      </c>
      <c r="W4" s="5">
        <v>1.0528999999999999</v>
      </c>
      <c r="X4" s="5">
        <v>0.96619999999999995</v>
      </c>
      <c r="Y4" s="5">
        <v>1.0357000000000001</v>
      </c>
      <c r="Z4" s="5">
        <v>0.98919999999999997</v>
      </c>
      <c r="AA4" s="5">
        <v>0.86050000000000004</v>
      </c>
      <c r="AB4" s="5">
        <v>1</v>
      </c>
    </row>
    <row r="5" spans="1:28" x14ac:dyDescent="0.3">
      <c r="A5" s="4" t="s">
        <v>52</v>
      </c>
      <c r="B5" s="4">
        <v>220864</v>
      </c>
      <c r="C5" s="4">
        <v>203001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8" spans="1:28" x14ac:dyDescent="0.3">
      <c r="A8" s="12" t="s">
        <v>123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9F4-0B7F-4718-9CB4-6FA2B85E1F5D}">
  <dimension ref="A1:AB5"/>
  <sheetViews>
    <sheetView topLeftCell="B1" workbookViewId="0">
      <selection sqref="A1:Q4"/>
    </sheetView>
  </sheetViews>
  <sheetFormatPr defaultRowHeight="14" x14ac:dyDescent="0.3"/>
  <cols>
    <col min="1" max="1" width="12.4140625" customWidth="1"/>
  </cols>
  <sheetData>
    <row r="1" spans="1:28" x14ac:dyDescent="0.3">
      <c r="A1" s="3" t="s">
        <v>56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8" t="s">
        <v>19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x14ac:dyDescent="0.3">
      <c r="A2" s="4" t="s">
        <v>64</v>
      </c>
      <c r="B2" s="4">
        <v>10626</v>
      </c>
      <c r="C2" s="4">
        <v>9108</v>
      </c>
      <c r="D2" s="4">
        <v>9108</v>
      </c>
      <c r="E2" s="4">
        <v>10626</v>
      </c>
      <c r="F2" s="4">
        <v>9625</v>
      </c>
      <c r="G2" s="4">
        <v>6930</v>
      </c>
      <c r="H2" s="4">
        <v>10626</v>
      </c>
      <c r="I2" s="4">
        <v>6600</v>
      </c>
      <c r="J2" s="4">
        <v>9108</v>
      </c>
      <c r="K2" s="4">
        <v>9108</v>
      </c>
      <c r="L2" s="4">
        <v>9108</v>
      </c>
      <c r="M2" s="4">
        <v>9108</v>
      </c>
      <c r="N2" s="4">
        <v>9108</v>
      </c>
      <c r="O2" s="4">
        <v>5940</v>
      </c>
      <c r="P2" s="4">
        <v>7700</v>
      </c>
      <c r="Q2" s="9">
        <v>7920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x14ac:dyDescent="0.3">
      <c r="A3" s="4" t="s">
        <v>65</v>
      </c>
      <c r="B3" s="4">
        <v>9827</v>
      </c>
      <c r="C3" s="4">
        <v>8521</v>
      </c>
      <c r="D3" s="4">
        <v>8818</v>
      </c>
      <c r="E3" s="4">
        <v>9992</v>
      </c>
      <c r="F3" s="4">
        <v>7976</v>
      </c>
      <c r="G3" s="4">
        <v>6982</v>
      </c>
      <c r="H3" s="4">
        <v>9920</v>
      </c>
      <c r="I3" s="4">
        <v>5375</v>
      </c>
      <c r="J3" s="4">
        <v>7762</v>
      </c>
      <c r="K3" s="4">
        <v>6417</v>
      </c>
      <c r="L3" s="4">
        <v>6733</v>
      </c>
      <c r="M3" s="4">
        <v>7846</v>
      </c>
      <c r="N3" s="4">
        <v>7373</v>
      </c>
      <c r="O3" s="4">
        <v>4798</v>
      </c>
      <c r="P3" s="4">
        <v>6379</v>
      </c>
      <c r="Q3" s="4">
        <v>5463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x14ac:dyDescent="0.3">
      <c r="A4" s="7" t="s">
        <v>92</v>
      </c>
      <c r="B4" s="5">
        <v>0.91090000000000004</v>
      </c>
      <c r="C4" s="5">
        <v>0.95579999999999998</v>
      </c>
      <c r="D4" s="5">
        <v>0.92659999999999998</v>
      </c>
      <c r="E4" s="5">
        <v>0.94989999999999997</v>
      </c>
      <c r="F4" s="5">
        <v>0.92610000000000003</v>
      </c>
      <c r="G4" s="5">
        <v>0.93430000000000002</v>
      </c>
      <c r="H4" s="5">
        <v>0.74099999999999999</v>
      </c>
      <c r="I4" s="5">
        <v>0.85150000000000003</v>
      </c>
      <c r="J4" s="5">
        <v>0.9849</v>
      </c>
      <c r="K4" s="5">
        <v>0.97299999999999998</v>
      </c>
      <c r="L4" s="5">
        <v>0.95850000000000002</v>
      </c>
      <c r="M4" s="5">
        <v>0.82689999999999997</v>
      </c>
      <c r="N4" s="5">
        <v>0.90720000000000001</v>
      </c>
      <c r="O4" s="5">
        <v>0.79490000000000005</v>
      </c>
      <c r="P4" s="5">
        <v>0.84119999999999995</v>
      </c>
      <c r="Q4" s="26">
        <v>0.90969999999999995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3">
      <c r="A5" s="4" t="s">
        <v>52</v>
      </c>
      <c r="B5" s="4">
        <v>220864</v>
      </c>
      <c r="C5" s="4">
        <v>203001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9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topLeftCell="A4" workbookViewId="0">
      <selection activeCell="O9" sqref="O9"/>
    </sheetView>
  </sheetViews>
  <sheetFormatPr defaultRowHeight="14" x14ac:dyDescent="0.3"/>
  <cols>
    <col min="1" max="1" width="12.1640625" customWidth="1"/>
  </cols>
  <sheetData>
    <row r="1" spans="1:17" x14ac:dyDescent="0.3">
      <c r="A1" s="3" t="s">
        <v>56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17" x14ac:dyDescent="0.3">
      <c r="A2" s="4" t="s">
        <v>66</v>
      </c>
      <c r="B2" s="4">
        <v>10626</v>
      </c>
      <c r="C2" s="4">
        <v>9108</v>
      </c>
      <c r="D2" s="4">
        <v>9108</v>
      </c>
      <c r="E2" s="4">
        <v>10626</v>
      </c>
      <c r="F2" s="4">
        <v>9625</v>
      </c>
      <c r="G2" s="4">
        <v>6930</v>
      </c>
      <c r="H2" s="4">
        <v>10626</v>
      </c>
      <c r="I2" s="4">
        <v>6600</v>
      </c>
      <c r="J2" s="4">
        <v>9108</v>
      </c>
      <c r="K2" s="4">
        <v>9108</v>
      </c>
      <c r="L2" s="4">
        <v>9108</v>
      </c>
      <c r="M2" s="4">
        <v>9108</v>
      </c>
      <c r="N2" s="4">
        <v>9108</v>
      </c>
      <c r="O2" s="4">
        <v>5940</v>
      </c>
      <c r="P2" s="4">
        <v>7700</v>
      </c>
      <c r="Q2" s="4">
        <v>7920</v>
      </c>
    </row>
    <row r="3" spans="1:17" x14ac:dyDescent="0.3">
      <c r="A3" s="4" t="s">
        <v>67</v>
      </c>
      <c r="B3" s="4">
        <v>9250</v>
      </c>
      <c r="C3" s="4">
        <v>8700</v>
      </c>
      <c r="D3" s="4">
        <v>8100</v>
      </c>
      <c r="E3" s="4">
        <v>9750</v>
      </c>
      <c r="F3" s="4">
        <v>7950</v>
      </c>
      <c r="G3" s="4">
        <v>6750</v>
      </c>
      <c r="H3" s="4">
        <v>9900</v>
      </c>
      <c r="I3" s="4">
        <v>5500</v>
      </c>
      <c r="J3" s="4">
        <v>7310</v>
      </c>
      <c r="K3" s="4">
        <v>6348</v>
      </c>
      <c r="L3" s="4">
        <v>6758</v>
      </c>
      <c r="M3" s="4">
        <v>7550</v>
      </c>
      <c r="N3" s="4">
        <v>8830</v>
      </c>
      <c r="O3" s="4">
        <v>4610</v>
      </c>
      <c r="P3" s="4">
        <v>6680</v>
      </c>
      <c r="Q3" s="4">
        <v>8550</v>
      </c>
    </row>
    <row r="4" spans="1:17" x14ac:dyDescent="0.3">
      <c r="A4" s="7" t="s">
        <v>93</v>
      </c>
      <c r="B4" s="5">
        <v>0.87050000000000005</v>
      </c>
      <c r="C4" s="5">
        <v>0.95520000000000005</v>
      </c>
      <c r="D4" s="5">
        <v>0.88929999999999998</v>
      </c>
      <c r="E4" s="5">
        <v>0.91759999999999997</v>
      </c>
      <c r="F4" s="5">
        <v>0.82599999999999996</v>
      </c>
      <c r="G4" s="5">
        <v>0.97399999999999998</v>
      </c>
      <c r="H4" s="5">
        <v>0.93169999999999997</v>
      </c>
      <c r="I4" s="5">
        <v>0.83330000000000004</v>
      </c>
      <c r="J4" s="5">
        <v>0.80259999999999998</v>
      </c>
      <c r="K4" s="5">
        <v>0.69699999999999995</v>
      </c>
      <c r="L4" s="5">
        <v>0.74199999999999999</v>
      </c>
      <c r="M4" s="5">
        <v>0.82889999999999997</v>
      </c>
      <c r="N4" s="5">
        <v>0.96950000000000003</v>
      </c>
      <c r="O4" s="5">
        <v>0.77610000000000001</v>
      </c>
      <c r="P4" s="5">
        <v>0.86750000000000005</v>
      </c>
      <c r="Q4" s="5">
        <v>1.0794999999999999</v>
      </c>
    </row>
    <row r="5" spans="1:17" x14ac:dyDescent="0.3">
      <c r="A5" s="7" t="s">
        <v>94</v>
      </c>
      <c r="B5" s="5">
        <f>1-B4</f>
        <v>0.12949999999999995</v>
      </c>
      <c r="C5" s="5">
        <f t="shared" ref="C5:Q5" si="0">1-C4</f>
        <v>4.4799999999999951E-2</v>
      </c>
      <c r="D5" s="5">
        <f t="shared" si="0"/>
        <v>0.11070000000000002</v>
      </c>
      <c r="E5" s="5">
        <f t="shared" si="0"/>
        <v>8.2400000000000029E-2</v>
      </c>
      <c r="F5" s="5">
        <f t="shared" si="0"/>
        <v>0.17400000000000004</v>
      </c>
      <c r="G5" s="5">
        <f t="shared" si="0"/>
        <v>2.6000000000000023E-2</v>
      </c>
      <c r="H5" s="5">
        <f t="shared" si="0"/>
        <v>6.8300000000000027E-2</v>
      </c>
      <c r="I5" s="5">
        <f t="shared" si="0"/>
        <v>0.16669999999999996</v>
      </c>
      <c r="J5" s="5">
        <f t="shared" si="0"/>
        <v>0.19740000000000002</v>
      </c>
      <c r="K5" s="5">
        <f t="shared" si="0"/>
        <v>0.30300000000000005</v>
      </c>
      <c r="L5" s="5">
        <f t="shared" si="0"/>
        <v>0.25800000000000001</v>
      </c>
      <c r="M5" s="5">
        <f t="shared" si="0"/>
        <v>0.17110000000000003</v>
      </c>
      <c r="N5" s="5">
        <f t="shared" si="0"/>
        <v>3.0499999999999972E-2</v>
      </c>
      <c r="O5" s="5">
        <f t="shared" si="0"/>
        <v>0.22389999999999999</v>
      </c>
      <c r="P5" s="5">
        <f t="shared" si="0"/>
        <v>0.13249999999999995</v>
      </c>
      <c r="Q5" s="5">
        <f t="shared" si="0"/>
        <v>-7.9499999999999904E-2</v>
      </c>
    </row>
    <row r="6" spans="1:17" x14ac:dyDescent="0.3">
      <c r="A6" s="4" t="s">
        <v>52</v>
      </c>
      <c r="B6" s="4">
        <v>140349</v>
      </c>
      <c r="C6" s="4">
        <v>122536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3">
      <c r="A7" s="1"/>
    </row>
    <row r="8" spans="1:17" x14ac:dyDescent="0.3">
      <c r="A8" s="24" t="s">
        <v>95</v>
      </c>
      <c r="B8" s="22"/>
      <c r="C8" s="22"/>
    </row>
    <row r="9" spans="1:17" x14ac:dyDescent="0.3">
      <c r="A9" s="24" t="s">
        <v>96</v>
      </c>
      <c r="B9" s="22"/>
      <c r="C9" s="22"/>
    </row>
  </sheetData>
  <mergeCells count="2">
    <mergeCell ref="A8:C8"/>
    <mergeCell ref="A9:C9"/>
  </mergeCells>
  <phoneticPr fontId="1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"/>
  <sheetViews>
    <sheetView tabSelected="1" topLeftCell="M7" workbookViewId="0">
      <selection activeCell="AD19" sqref="AD19"/>
    </sheetView>
  </sheetViews>
  <sheetFormatPr defaultRowHeight="14" x14ac:dyDescent="0.3"/>
  <cols>
    <col min="1" max="1" width="11.83203125" customWidth="1"/>
  </cols>
  <sheetData>
    <row r="1" spans="1:28" x14ac:dyDescent="0.3">
      <c r="A1" s="3" t="s">
        <v>56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63</v>
      </c>
      <c r="AB1" s="3" t="s">
        <v>25</v>
      </c>
    </row>
    <row r="2" spans="1:28" x14ac:dyDescent="0.3">
      <c r="A2" s="4" t="s">
        <v>66</v>
      </c>
      <c r="B2" s="4">
        <v>9660</v>
      </c>
      <c r="C2" s="4">
        <v>9660</v>
      </c>
      <c r="D2" s="4">
        <v>7000</v>
      </c>
      <c r="E2" s="4">
        <v>8280</v>
      </c>
      <c r="F2" s="4">
        <v>8280</v>
      </c>
      <c r="G2" s="4">
        <v>9660</v>
      </c>
      <c r="H2" s="4">
        <v>9660</v>
      </c>
      <c r="I2" s="4">
        <v>7000</v>
      </c>
      <c r="J2" s="4">
        <v>9660</v>
      </c>
      <c r="K2" s="4">
        <v>9660</v>
      </c>
      <c r="L2" s="4">
        <v>9660</v>
      </c>
      <c r="M2" s="4">
        <v>6000</v>
      </c>
      <c r="N2" s="4">
        <v>9660</v>
      </c>
      <c r="O2" s="4">
        <v>8280</v>
      </c>
      <c r="P2" s="4">
        <v>8100</v>
      </c>
      <c r="Q2" s="4">
        <v>9660</v>
      </c>
      <c r="R2" s="4">
        <v>9660</v>
      </c>
      <c r="S2" s="4">
        <v>5400</v>
      </c>
      <c r="T2" s="4">
        <v>7700</v>
      </c>
      <c r="U2" s="4">
        <v>5400</v>
      </c>
      <c r="V2" s="4">
        <v>7200</v>
      </c>
      <c r="W2" s="4">
        <v>9660</v>
      </c>
      <c r="X2" s="4">
        <v>9660</v>
      </c>
      <c r="Y2" s="4">
        <v>9660</v>
      </c>
      <c r="Z2" s="4">
        <v>9660</v>
      </c>
      <c r="AA2" s="4">
        <v>4900</v>
      </c>
      <c r="AB2" s="4">
        <v>1200</v>
      </c>
    </row>
    <row r="3" spans="1:28" x14ac:dyDescent="0.3">
      <c r="A3" s="4" t="s">
        <v>67</v>
      </c>
      <c r="B3" s="4">
        <v>9000</v>
      </c>
      <c r="C3" s="4">
        <v>9250</v>
      </c>
      <c r="D3" s="4">
        <v>6450</v>
      </c>
      <c r="E3" s="4">
        <v>8700</v>
      </c>
      <c r="F3" s="4">
        <v>8100</v>
      </c>
      <c r="G3" s="4">
        <v>9750</v>
      </c>
      <c r="H3" s="4">
        <v>7950</v>
      </c>
      <c r="I3" s="4">
        <v>6750</v>
      </c>
      <c r="J3" s="4">
        <v>8850</v>
      </c>
      <c r="K3" s="4">
        <v>9400</v>
      </c>
      <c r="L3" s="4">
        <v>9900</v>
      </c>
      <c r="M3" s="4">
        <v>5500</v>
      </c>
      <c r="N3" s="4">
        <v>7310</v>
      </c>
      <c r="O3" s="4">
        <v>6348</v>
      </c>
      <c r="P3" s="4">
        <v>6758</v>
      </c>
      <c r="Q3" s="4">
        <v>7550</v>
      </c>
      <c r="R3" s="4">
        <v>8830</v>
      </c>
      <c r="S3" s="4">
        <v>4610</v>
      </c>
      <c r="T3" s="4">
        <v>6680</v>
      </c>
      <c r="U3" s="4">
        <v>7250</v>
      </c>
      <c r="V3" s="4">
        <v>5550</v>
      </c>
      <c r="W3" s="4">
        <v>9660</v>
      </c>
      <c r="X3" s="4">
        <v>8100</v>
      </c>
      <c r="Y3" s="4">
        <v>9900</v>
      </c>
      <c r="Z3" s="4">
        <v>9450</v>
      </c>
      <c r="AA3" s="4">
        <v>4250</v>
      </c>
      <c r="AB3" s="4">
        <v>1000</v>
      </c>
    </row>
    <row r="4" spans="1:28" x14ac:dyDescent="0.3">
      <c r="A4" s="7" t="s">
        <v>97</v>
      </c>
      <c r="B4" s="5">
        <v>0.93169999999999997</v>
      </c>
      <c r="C4" s="5">
        <v>0.95760000000000001</v>
      </c>
      <c r="D4" s="5">
        <v>0.9214</v>
      </c>
      <c r="E4" s="5">
        <v>1.0507</v>
      </c>
      <c r="F4" s="5">
        <v>0.97829999999999995</v>
      </c>
      <c r="G4" s="5">
        <v>1.0093000000000001</v>
      </c>
      <c r="H4" s="5">
        <v>0.82299999999999995</v>
      </c>
      <c r="I4" s="5">
        <v>0.96430000000000005</v>
      </c>
      <c r="J4" s="5">
        <v>0.91610000000000003</v>
      </c>
      <c r="K4" s="5">
        <v>0.97309999999999997</v>
      </c>
      <c r="L4" s="5">
        <v>1.0247999999999999</v>
      </c>
      <c r="M4" s="5">
        <v>0.91669999999999996</v>
      </c>
      <c r="N4" s="5">
        <v>0.75670000000000004</v>
      </c>
      <c r="O4" s="5">
        <v>0.76670000000000005</v>
      </c>
      <c r="P4" s="5">
        <v>0.83430000000000004</v>
      </c>
      <c r="Q4" s="5">
        <v>0.78159999999999996</v>
      </c>
      <c r="R4" s="5">
        <v>0.91410000000000002</v>
      </c>
      <c r="S4" s="5">
        <v>0.85370000000000001</v>
      </c>
      <c r="T4" s="5">
        <v>0.86750000000000005</v>
      </c>
      <c r="U4" s="5">
        <v>1.3426</v>
      </c>
      <c r="V4" s="5">
        <v>0.77080000000000004</v>
      </c>
      <c r="W4" s="5">
        <v>1</v>
      </c>
      <c r="X4" s="5">
        <v>0.83850000000000002</v>
      </c>
      <c r="Y4" s="5">
        <v>1.0247999999999999</v>
      </c>
      <c r="Z4" s="5">
        <v>0.97829999999999995</v>
      </c>
      <c r="AA4" s="5">
        <v>0.86729999999999996</v>
      </c>
      <c r="AB4" s="5">
        <v>0.83330000000000004</v>
      </c>
    </row>
    <row r="5" spans="1:28" x14ac:dyDescent="0.3">
      <c r="A5" s="7" t="s">
        <v>98</v>
      </c>
      <c r="B5" s="5">
        <f>1-B4</f>
        <v>6.8300000000000027E-2</v>
      </c>
      <c r="C5" s="5">
        <f t="shared" ref="C5:AB5" si="0">1-C4</f>
        <v>4.2399999999999993E-2</v>
      </c>
      <c r="D5" s="5">
        <f t="shared" si="0"/>
        <v>7.8600000000000003E-2</v>
      </c>
      <c r="E5" s="5">
        <f t="shared" si="0"/>
        <v>-5.0699999999999967E-2</v>
      </c>
      <c r="F5" s="5">
        <f t="shared" si="0"/>
        <v>2.1700000000000053E-2</v>
      </c>
      <c r="G5" s="5">
        <f t="shared" si="0"/>
        <v>-9.300000000000086E-3</v>
      </c>
      <c r="H5" s="5">
        <f t="shared" si="0"/>
        <v>0.17700000000000005</v>
      </c>
      <c r="I5" s="5">
        <f t="shared" si="0"/>
        <v>3.5699999999999954E-2</v>
      </c>
      <c r="J5" s="5">
        <f t="shared" si="0"/>
        <v>8.3899999999999975E-2</v>
      </c>
      <c r="K5" s="5">
        <f t="shared" si="0"/>
        <v>2.6900000000000035E-2</v>
      </c>
      <c r="L5" s="5">
        <f t="shared" si="0"/>
        <v>-2.4799999999999933E-2</v>
      </c>
      <c r="M5" s="5">
        <f t="shared" si="0"/>
        <v>8.3300000000000041E-2</v>
      </c>
      <c r="N5" s="5">
        <f t="shared" si="0"/>
        <v>0.24329999999999996</v>
      </c>
      <c r="O5" s="5">
        <f t="shared" si="0"/>
        <v>0.23329999999999995</v>
      </c>
      <c r="P5" s="5">
        <f t="shared" si="0"/>
        <v>0.16569999999999996</v>
      </c>
      <c r="Q5" s="5">
        <f t="shared" si="0"/>
        <v>0.21840000000000004</v>
      </c>
      <c r="R5" s="5">
        <f t="shared" si="0"/>
        <v>8.5899999999999976E-2</v>
      </c>
      <c r="S5" s="5">
        <f t="shared" si="0"/>
        <v>0.14629999999999999</v>
      </c>
      <c r="T5" s="5">
        <f t="shared" si="0"/>
        <v>0.13249999999999995</v>
      </c>
      <c r="U5" s="5">
        <f t="shared" si="0"/>
        <v>-0.34260000000000002</v>
      </c>
      <c r="V5" s="5">
        <f t="shared" si="0"/>
        <v>0.22919999999999996</v>
      </c>
      <c r="W5" s="5">
        <f t="shared" si="0"/>
        <v>0</v>
      </c>
      <c r="X5" s="5">
        <f t="shared" si="0"/>
        <v>0.16149999999999998</v>
      </c>
      <c r="Y5" s="5">
        <f t="shared" si="0"/>
        <v>-2.4799999999999933E-2</v>
      </c>
      <c r="Z5" s="5">
        <f t="shared" si="0"/>
        <v>2.1700000000000053E-2</v>
      </c>
      <c r="AA5" s="5">
        <f t="shared" si="0"/>
        <v>0.13270000000000004</v>
      </c>
      <c r="AB5" s="5">
        <f t="shared" si="0"/>
        <v>0.16669999999999996</v>
      </c>
    </row>
    <row r="6" spans="1:28" x14ac:dyDescent="0.3">
      <c r="A6" s="4" t="s">
        <v>52</v>
      </c>
      <c r="B6" s="4">
        <v>219980</v>
      </c>
      <c r="C6" s="4">
        <v>202846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3">
      <c r="A7" s="1"/>
    </row>
  </sheetData>
  <phoneticPr fontId="1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"/>
  <sheetViews>
    <sheetView topLeftCell="J4" workbookViewId="0">
      <selection activeCell="A12" sqref="A12"/>
    </sheetView>
  </sheetViews>
  <sheetFormatPr defaultRowHeight="14" x14ac:dyDescent="0.3"/>
  <cols>
    <col min="1" max="1" width="12.83203125" customWidth="1"/>
  </cols>
  <sheetData>
    <row r="1" spans="1:28" x14ac:dyDescent="0.3">
      <c r="A1" s="3" t="s">
        <v>56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63</v>
      </c>
      <c r="AB1" s="3" t="s">
        <v>25</v>
      </c>
    </row>
    <row r="2" spans="1:28" x14ac:dyDescent="0.3">
      <c r="A2" s="4" t="s">
        <v>68</v>
      </c>
      <c r="B2" s="4">
        <v>9000</v>
      </c>
      <c r="C2" s="4">
        <v>9250</v>
      </c>
      <c r="D2" s="4">
        <v>6450</v>
      </c>
      <c r="E2" s="4">
        <v>8700</v>
      </c>
      <c r="F2" s="4">
        <v>8100</v>
      </c>
      <c r="G2" s="4">
        <v>9750</v>
      </c>
      <c r="H2" s="4">
        <v>7950</v>
      </c>
      <c r="I2" s="4">
        <v>6750</v>
      </c>
      <c r="J2" s="4">
        <v>8850</v>
      </c>
      <c r="K2" s="4">
        <v>9400</v>
      </c>
      <c r="L2" s="4">
        <v>9900</v>
      </c>
      <c r="M2" s="4">
        <v>5500</v>
      </c>
      <c r="N2" s="4">
        <v>7310</v>
      </c>
      <c r="O2" s="4">
        <v>6348</v>
      </c>
      <c r="P2" s="4">
        <v>6758</v>
      </c>
      <c r="Q2" s="4">
        <v>7550</v>
      </c>
      <c r="R2" s="4">
        <v>8830</v>
      </c>
      <c r="S2" s="4">
        <v>4610</v>
      </c>
      <c r="T2" s="4">
        <v>6680</v>
      </c>
      <c r="U2" s="4">
        <v>7250</v>
      </c>
      <c r="V2" s="4">
        <v>5550</v>
      </c>
      <c r="W2" s="4">
        <v>9660</v>
      </c>
      <c r="X2" s="4">
        <v>8100</v>
      </c>
      <c r="Y2" s="4">
        <v>9900</v>
      </c>
      <c r="Z2" s="4">
        <v>9450</v>
      </c>
      <c r="AA2" s="4">
        <v>4250</v>
      </c>
      <c r="AB2" s="4">
        <v>1000</v>
      </c>
    </row>
    <row r="3" spans="1:28" x14ac:dyDescent="0.3">
      <c r="A3" s="4" t="s">
        <v>65</v>
      </c>
      <c r="B3" s="4">
        <v>8674</v>
      </c>
      <c r="C3" s="4">
        <v>9827</v>
      </c>
      <c r="D3" s="4">
        <v>6301</v>
      </c>
      <c r="E3" s="4">
        <v>8521</v>
      </c>
      <c r="F3" s="4">
        <v>8818</v>
      </c>
      <c r="G3" s="4">
        <v>9992</v>
      </c>
      <c r="H3" s="4">
        <v>7976</v>
      </c>
      <c r="I3" s="4">
        <v>6982</v>
      </c>
      <c r="J3" s="4">
        <v>9378</v>
      </c>
      <c r="K3" s="4">
        <v>9399</v>
      </c>
      <c r="L3" s="4">
        <v>9920</v>
      </c>
      <c r="M3" s="4">
        <v>5375</v>
      </c>
      <c r="N3" s="4">
        <v>7762</v>
      </c>
      <c r="O3" s="4">
        <v>6417</v>
      </c>
      <c r="P3" s="4">
        <v>6733</v>
      </c>
      <c r="Q3" s="4">
        <v>7846</v>
      </c>
      <c r="R3" s="4">
        <v>7373</v>
      </c>
      <c r="S3" s="4">
        <v>4798</v>
      </c>
      <c r="T3" s="4">
        <v>6379</v>
      </c>
      <c r="U3" s="4">
        <v>5463</v>
      </c>
      <c r="V3" s="4">
        <v>5463</v>
      </c>
      <c r="W3" s="4">
        <v>9880</v>
      </c>
      <c r="X3" s="4">
        <v>9067</v>
      </c>
      <c r="Y3" s="4">
        <v>10005</v>
      </c>
      <c r="Z3" s="4">
        <v>9556</v>
      </c>
      <c r="AA3" s="4">
        <v>4096</v>
      </c>
      <c r="AB3" s="4">
        <v>1000</v>
      </c>
    </row>
    <row r="4" spans="1:28" x14ac:dyDescent="0.3">
      <c r="A4" s="7" t="s">
        <v>120</v>
      </c>
      <c r="B4" s="4">
        <v>0.96</v>
      </c>
      <c r="C4" s="4">
        <v>1.06</v>
      </c>
      <c r="D4" s="4">
        <v>0.98</v>
      </c>
      <c r="E4" s="4">
        <v>0.98</v>
      </c>
      <c r="F4" s="4">
        <v>1.0900000000000001</v>
      </c>
      <c r="G4" s="4">
        <v>1.02</v>
      </c>
      <c r="H4" s="4">
        <v>1</v>
      </c>
      <c r="I4" s="4">
        <v>1.03</v>
      </c>
      <c r="J4" s="4">
        <v>1.06</v>
      </c>
      <c r="K4" s="4">
        <v>1</v>
      </c>
      <c r="L4" s="4">
        <v>1</v>
      </c>
      <c r="M4" s="4">
        <v>0.98</v>
      </c>
      <c r="N4" s="4">
        <v>1.06</v>
      </c>
      <c r="O4" s="4">
        <v>1.01</v>
      </c>
      <c r="P4" s="4">
        <v>1</v>
      </c>
      <c r="Q4" s="4">
        <v>1.04</v>
      </c>
      <c r="R4" s="4">
        <v>0.84</v>
      </c>
      <c r="S4" s="4">
        <v>1.04</v>
      </c>
      <c r="T4" s="4">
        <v>0.95</v>
      </c>
      <c r="U4" s="4">
        <v>0.75</v>
      </c>
      <c r="V4" s="4">
        <v>0.98</v>
      </c>
      <c r="W4" s="4">
        <v>1.02</v>
      </c>
      <c r="X4" s="4">
        <v>1.1200000000000001</v>
      </c>
      <c r="Y4" s="4">
        <v>1.01</v>
      </c>
      <c r="Z4" s="4">
        <v>1.01</v>
      </c>
      <c r="AA4" s="4">
        <v>0.96</v>
      </c>
      <c r="AB4" s="4">
        <v>1</v>
      </c>
    </row>
    <row r="5" spans="1:28" s="20" customFormat="1" x14ac:dyDescent="0.3">
      <c r="A5" s="18" t="s">
        <v>120</v>
      </c>
      <c r="B5" s="19">
        <v>0.96379999999999999</v>
      </c>
      <c r="C5" s="19" t="s">
        <v>31</v>
      </c>
      <c r="D5" s="19" t="s">
        <v>32</v>
      </c>
      <c r="E5" s="19" t="s">
        <v>69</v>
      </c>
      <c r="F5" s="19" t="s">
        <v>33</v>
      </c>
      <c r="G5" s="19" t="s">
        <v>34</v>
      </c>
      <c r="H5" s="19" t="s">
        <v>35</v>
      </c>
      <c r="I5" s="19" t="s">
        <v>36</v>
      </c>
      <c r="J5" s="19" t="s">
        <v>37</v>
      </c>
      <c r="K5" s="19" t="s">
        <v>38</v>
      </c>
      <c r="L5" s="19" t="s">
        <v>39</v>
      </c>
      <c r="M5" s="19" t="s">
        <v>40</v>
      </c>
      <c r="N5" s="19" t="s">
        <v>41</v>
      </c>
      <c r="O5" s="19" t="s">
        <v>42</v>
      </c>
      <c r="P5" s="19" t="s">
        <v>70</v>
      </c>
      <c r="Q5" s="19" t="s">
        <v>43</v>
      </c>
      <c r="R5" s="19" t="s">
        <v>44</v>
      </c>
      <c r="S5" s="19" t="s">
        <v>45</v>
      </c>
      <c r="T5" s="19" t="s">
        <v>46</v>
      </c>
      <c r="U5" s="19" t="s">
        <v>71</v>
      </c>
      <c r="V5" s="19" t="s">
        <v>47</v>
      </c>
      <c r="W5" s="19" t="s">
        <v>72</v>
      </c>
      <c r="X5" s="19" t="s">
        <v>48</v>
      </c>
      <c r="Y5" s="19" t="s">
        <v>49</v>
      </c>
      <c r="Z5" s="19" t="s">
        <v>50</v>
      </c>
      <c r="AA5" s="19" t="s">
        <v>30</v>
      </c>
      <c r="AB5" s="19" t="s">
        <v>51</v>
      </c>
    </row>
    <row r="6" spans="1:28" x14ac:dyDescent="0.3">
      <c r="A6" s="4" t="s">
        <v>52</v>
      </c>
      <c r="B6" s="4">
        <v>202846</v>
      </c>
      <c r="C6" s="4">
        <v>203001</v>
      </c>
      <c r="D6" s="4" t="s">
        <v>73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9" spans="1:28" x14ac:dyDescent="0.3">
      <c r="A9" s="12" t="s">
        <v>122</v>
      </c>
    </row>
    <row r="10" spans="1:28" x14ac:dyDescent="0.3">
      <c r="A10" t="s">
        <v>124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"/>
  <sheetViews>
    <sheetView workbookViewId="0">
      <selection activeCell="C13" sqref="C13"/>
    </sheetView>
  </sheetViews>
  <sheetFormatPr defaultRowHeight="14" x14ac:dyDescent="0.3"/>
  <sheetData>
    <row r="1" spans="1:29" x14ac:dyDescent="0.3">
      <c r="A1" s="3" t="s">
        <v>56</v>
      </c>
      <c r="B1" s="3" t="s">
        <v>0</v>
      </c>
      <c r="C1" s="3" t="s">
        <v>21</v>
      </c>
      <c r="D1" s="3" t="s">
        <v>1</v>
      </c>
      <c r="E1" s="3" t="s">
        <v>2</v>
      </c>
      <c r="F1" s="3" t="s">
        <v>22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23</v>
      </c>
      <c r="N1" s="3" t="s">
        <v>9</v>
      </c>
      <c r="O1" s="3" t="s">
        <v>24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17</v>
      </c>
      <c r="W1" s="3" t="s">
        <v>18</v>
      </c>
      <c r="X1" s="3" t="s">
        <v>19</v>
      </c>
      <c r="Y1" s="3" t="s">
        <v>61</v>
      </c>
      <c r="Z1" s="3" t="s">
        <v>62</v>
      </c>
      <c r="AA1" s="3" t="s">
        <v>20</v>
      </c>
      <c r="AB1" s="3" t="s">
        <v>63</v>
      </c>
      <c r="AC1" s="3" t="s">
        <v>74</v>
      </c>
    </row>
    <row r="2" spans="1:29" x14ac:dyDescent="0.3">
      <c r="A2" s="4" t="s">
        <v>75</v>
      </c>
      <c r="B2" s="4">
        <v>0</v>
      </c>
      <c r="C2" s="4">
        <v>0</v>
      </c>
      <c r="D2" s="4">
        <v>2</v>
      </c>
      <c r="E2" s="4">
        <v>7</v>
      </c>
      <c r="F2" s="4">
        <v>5</v>
      </c>
      <c r="G2" s="4">
        <v>2</v>
      </c>
      <c r="H2" s="4">
        <v>5</v>
      </c>
      <c r="I2" s="4">
        <v>5</v>
      </c>
      <c r="J2" s="4">
        <v>8</v>
      </c>
      <c r="K2" s="4">
        <v>17</v>
      </c>
      <c r="L2" s="4">
        <v>0</v>
      </c>
      <c r="M2" s="4">
        <v>0</v>
      </c>
      <c r="N2" s="4">
        <v>0</v>
      </c>
      <c r="O2" s="4">
        <v>0</v>
      </c>
      <c r="P2" s="4">
        <v>11</v>
      </c>
      <c r="Q2" s="4">
        <v>0</v>
      </c>
      <c r="R2" s="4">
        <v>26</v>
      </c>
      <c r="S2" s="4">
        <v>2</v>
      </c>
      <c r="T2" s="4">
        <v>0</v>
      </c>
      <c r="U2" s="4">
        <v>0</v>
      </c>
      <c r="V2" s="4">
        <v>18</v>
      </c>
      <c r="W2" s="4">
        <v>32</v>
      </c>
      <c r="X2" s="4">
        <v>0</v>
      </c>
      <c r="Y2" s="4">
        <v>0</v>
      </c>
      <c r="Z2" s="4">
        <v>0</v>
      </c>
      <c r="AA2" s="4">
        <v>16</v>
      </c>
      <c r="AB2" s="4">
        <v>2</v>
      </c>
      <c r="AC2" s="4">
        <v>158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"/>
  <sheetViews>
    <sheetView workbookViewId="0">
      <selection activeCell="A4" sqref="A4"/>
    </sheetView>
  </sheetViews>
  <sheetFormatPr defaultRowHeight="14" x14ac:dyDescent="0.3"/>
  <sheetData>
    <row r="1" spans="1:14" x14ac:dyDescent="0.3">
      <c r="A1" s="3" t="s">
        <v>76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74</v>
      </c>
    </row>
    <row r="2" spans="1:14" x14ac:dyDescent="0.3">
      <c r="A2" s="4" t="s">
        <v>89</v>
      </c>
      <c r="B2" s="4">
        <v>113</v>
      </c>
      <c r="C2" s="4">
        <v>241</v>
      </c>
      <c r="D2" s="4">
        <v>1021</v>
      </c>
      <c r="E2" s="4">
        <v>49</v>
      </c>
      <c r="F2" s="4">
        <v>157</v>
      </c>
      <c r="G2" s="4">
        <v>76</v>
      </c>
      <c r="H2" s="4">
        <v>227</v>
      </c>
      <c r="I2" s="4">
        <v>158</v>
      </c>
      <c r="J2" s="4"/>
      <c r="K2" s="4"/>
      <c r="L2" s="4"/>
      <c r="M2" s="4"/>
      <c r="N2" s="4"/>
    </row>
    <row r="3" spans="1:14" x14ac:dyDescent="0.3">
      <c r="A3" s="4" t="s">
        <v>90</v>
      </c>
      <c r="B3" s="4">
        <v>310</v>
      </c>
      <c r="C3" s="4">
        <v>229</v>
      </c>
      <c r="D3" s="4">
        <v>297</v>
      </c>
      <c r="E3" s="4">
        <v>312</v>
      </c>
      <c r="F3" s="4">
        <v>339</v>
      </c>
      <c r="G3" s="4">
        <v>356</v>
      </c>
      <c r="H3" s="4">
        <v>127</v>
      </c>
      <c r="I3" s="4">
        <v>164</v>
      </c>
      <c r="J3" s="4">
        <v>168</v>
      </c>
      <c r="K3" s="4">
        <v>6</v>
      </c>
      <c r="L3" s="4">
        <v>145</v>
      </c>
      <c r="M3" s="4">
        <v>86</v>
      </c>
      <c r="N3" s="4">
        <v>2626</v>
      </c>
    </row>
    <row r="4" spans="1:14" x14ac:dyDescent="0.3">
      <c r="A4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年生产计划数据汇总</vt:lpstr>
      <vt:lpstr>月生产计划数据汇总</vt:lpstr>
      <vt:lpstr>各线体周生产数据汇总</vt:lpstr>
      <vt:lpstr>BC区工时汇总</vt:lpstr>
      <vt:lpstr>10H产能利用率</vt:lpstr>
      <vt:lpstr>11H产能利用率</vt:lpstr>
      <vt:lpstr>11H排产负荷率</vt:lpstr>
      <vt:lpstr>10H排产负荷率</vt:lpstr>
      <vt:lpstr>计划达成率</vt:lpstr>
      <vt:lpstr>切线次数</vt:lpstr>
      <vt:lpstr>25-26年切线次数对比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靳新雨</dc:creator>
  <cp:lastModifiedBy>靳新雨</cp:lastModifiedBy>
  <dcterms:created xsi:type="dcterms:W3CDTF">2015-06-05T18:19:34Z</dcterms:created>
  <dcterms:modified xsi:type="dcterms:W3CDTF">2026-07-29T01:36:48Z</dcterms:modified>
</cp:coreProperties>
</file>